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8_{9250D886-BE72-4A64-BDB4-3661D6F7D6F9}" xr6:coauthVersionLast="47" xr6:coauthVersionMax="47" xr10:uidLastSave="{00000000-0000-0000-0000-000000000000}"/>
  <bookViews>
    <workbookView xWindow="1080" yWindow="732" windowWidth="17508" windowHeight="11508" activeTab="2" xr2:uid="{185D1EAE-F21E-4CF5-A4E7-17E895EFF5DA}"/>
  </bookViews>
  <sheets>
    <sheet name="Data" sheetId="1" r:id="rId1"/>
    <sheet name="Charts" sheetId="2" r:id="rId2"/>
    <sheet name="Dashboard" sheetId="3" r:id="rId3"/>
  </sheets>
  <definedNames>
    <definedName name="NativeTimeline_Date1">#N/A</definedName>
    <definedName name="Slicer_City1">#N/A</definedName>
    <definedName name="Slicer_Product">#N/A</definedName>
    <definedName name="Slicer_Product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1" l="1"/>
  <c r="B11" i="2"/>
  <c r="B10" i="2"/>
</calcChain>
</file>

<file path=xl/sharedStrings.xml><?xml version="1.0" encoding="utf-8"?>
<sst xmlns="http://schemas.openxmlformats.org/spreadsheetml/2006/main" count="78" uniqueCount="21">
  <si>
    <t>Date</t>
  </si>
  <si>
    <t>Product</t>
  </si>
  <si>
    <t>Category</t>
  </si>
  <si>
    <t>City</t>
  </si>
  <si>
    <t>Sales</t>
  </si>
  <si>
    <t>Quantity</t>
  </si>
  <si>
    <t>Laptop</t>
  </si>
  <si>
    <t>Electronics</t>
  </si>
  <si>
    <t>Kochi</t>
  </si>
  <si>
    <t>Phone</t>
  </si>
  <si>
    <t>Calicut</t>
  </si>
  <si>
    <t>Tablet</t>
  </si>
  <si>
    <t>Kannur</t>
  </si>
  <si>
    <t>Headphones</t>
  </si>
  <si>
    <t>Accessories</t>
  </si>
  <si>
    <t>Row Labels</t>
  </si>
  <si>
    <t>Sum of Sales</t>
  </si>
  <si>
    <t>Grand Total</t>
  </si>
  <si>
    <t xml:space="preserve">TOTAL REVENUE </t>
  </si>
  <si>
    <t xml:space="preserve">TOTAL QUANTITY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</si>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</sst>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K&quot;"/>
    <numFmt numFmtId="165" formatCode="[$-F800]dddd\,\ mmmm\ dd\,\ yyyy"/>
    <numFmt numFmtId="166" formatCode="&quot;₹&quot;\ #,##0"/>
  </numFmts>
  <fonts count="4" x14ac:knownFonts="1">
    <font>
      <sz val="11"/>
      <color theme="1"/>
      <name val="Aptos Narrow"/>
      <family val="2"/>
      <scheme val="minor"/>
    </font>
    <font>
      <b/>
      <sz val="11"/>
      <color theme="1"/>
      <name val="Aptos Narrow"/>
      <family val="2"/>
      <scheme val="minor"/>
    </font>
    <font>
      <b/>
      <sz val="11"/>
      <color theme="9" tint="-0.249977111117893"/>
      <name val="Aptos Narrow"/>
      <family val="2"/>
      <scheme val="minor"/>
    </font>
    <font>
      <b/>
      <sz val="22"/>
      <color theme="9" tint="-0.249977111117893"/>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1" fillId="0" borderId="0" xfId="0" applyFont="1" applyAlignment="1">
      <alignment horizontal="right"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right" vertical="center" wrapText="1"/>
    </xf>
    <xf numFmtId="0" fontId="0" fillId="0" borderId="0" xfId="0" applyAlignment="1">
      <alignment horizontal="left"/>
    </xf>
    <xf numFmtId="164" fontId="0" fillId="0" borderId="0" xfId="0" applyNumberFormat="1"/>
    <xf numFmtId="165" fontId="0" fillId="0" borderId="0" xfId="0" applyNumberFormat="1" applyAlignment="1">
      <alignment horizontal="left"/>
    </xf>
    <xf numFmtId="0" fontId="2" fillId="2" borderId="1" xfId="0" applyFont="1" applyFill="1" applyBorder="1"/>
    <xf numFmtId="166" fontId="0" fillId="0" borderId="1" xfId="0" applyNumberFormat="1" applyBorder="1"/>
    <xf numFmtId="0" fontId="0" fillId="0" borderId="1" xfId="0" applyBorder="1"/>
    <xf numFmtId="14" fontId="0" fillId="0" borderId="0" xfId="0" applyNumberFormat="1" applyAlignment="1">
      <alignment horizontal="left"/>
    </xf>
    <xf numFmtId="0" fontId="3" fillId="0" borderId="0" xfId="0" applyFont="1"/>
    <xf numFmtId="0" fontId="0" fillId="0" borderId="0" xfId="0" pivotButton="1"/>
    <xf numFmtId="0" fontId="0" fillId="0" borderId="0" xfId="0" applyNumberFormat="1"/>
  </cellXfs>
  <cellStyles count="1">
    <cellStyle name="Normal" xfId="0" builtinId="0"/>
  </cellStyles>
  <dxfs count="15">
    <dxf>
      <numFmt numFmtId="0" formatCode="General"/>
    </dxf>
    <dxf>
      <numFmt numFmtId="164" formatCode="#,##0,&quot;K&quot;"/>
    </dxf>
    <dxf>
      <numFmt numFmtId="165" formatCode="[$-F800]dddd\,\ mmmm\ dd\,\ yyyy"/>
    </dxf>
    <dxf>
      <numFmt numFmtId="164" formatCode="#,##0,&quot;K&quot;"/>
    </dxf>
    <dxf>
      <numFmt numFmtId="164" formatCode="#,##0,&quot;K&quot;"/>
    </dxf>
    <dxf>
      <numFmt numFmtId="0" formatCode="General"/>
    </dxf>
    <dxf>
      <numFmt numFmtId="164" formatCode="#,##0,&quot;K&quot;"/>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1" formatCode="dd/m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[dashboard2.xlsx]Charts!PivotTable1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Charts!$A$3:$A$6</c:f>
              <c:strCache>
                <c:ptCount val="3"/>
                <c:pt idx="0">
                  <c:v>Calicut</c:v>
                </c:pt>
                <c:pt idx="1">
                  <c:v>Kannur</c:v>
                </c:pt>
                <c:pt idx="2">
                  <c:v>Kochi</c:v>
                </c:pt>
              </c:strCache>
            </c:strRef>
          </c:cat>
          <c:val>
            <c:numRef>
              <c:f>Charts!$B$3:$B$6</c:f>
              <c:numCache>
                <c:formatCode>#,##0,"K"</c:formatCode>
                <c:ptCount val="3"/>
                <c:pt idx="0">
                  <c:v>58000</c:v>
                </c:pt>
                <c:pt idx="1">
                  <c:v>120000</c:v>
                </c:pt>
                <c:pt idx="2">
                  <c:v>271000</c:v>
                </c:pt>
              </c:numCache>
            </c:numRef>
          </c:val>
          <c:extLst>
            <c:ext xmlns:c16="http://schemas.microsoft.com/office/drawing/2014/chart" uri="{C3380CC4-5D6E-409C-BE32-E72D297353CC}">
              <c16:uniqueId val="{00000000-2E3A-4718-992A-85FA57FE320D}"/>
            </c:ext>
          </c:extLst>
        </c:ser>
        <c:dLbls>
          <c:dLblPos val="outEnd"/>
          <c:showLegendKey val="0"/>
          <c:showVal val="1"/>
          <c:showCatName val="0"/>
          <c:showSerName val="0"/>
          <c:showPercent val="0"/>
          <c:showBubbleSize val="0"/>
        </c:dLbls>
        <c:gapWidth val="219"/>
        <c:overlap val="-27"/>
        <c:axId val="1832361775"/>
        <c:axId val="1832362255"/>
      </c:barChart>
      <c:catAx>
        <c:axId val="1832361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62255"/>
        <c:crosses val="autoZero"/>
        <c:auto val="1"/>
        <c:lblAlgn val="ctr"/>
        <c:lblOffset val="100"/>
        <c:noMultiLvlLbl val="0"/>
      </c:catAx>
      <c:valAx>
        <c:axId val="1832362255"/>
        <c:scaling>
          <c:orientation val="minMax"/>
        </c:scaling>
        <c:delete val="0"/>
        <c:axPos val="l"/>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6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[dashboard2.xlsx]Charts!PivotTable2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Charts!$A$16:$A$20</c:f>
              <c:strCache>
                <c:ptCount val="4"/>
                <c:pt idx="0">
                  <c:v>Headphones</c:v>
                </c:pt>
                <c:pt idx="1">
                  <c:v>Laptop</c:v>
                </c:pt>
                <c:pt idx="2">
                  <c:v>Phone</c:v>
                </c:pt>
                <c:pt idx="3">
                  <c:v>Tablet</c:v>
                </c:pt>
              </c:strCache>
            </c:strRef>
          </c:cat>
          <c:val>
            <c:numRef>
              <c:f>Charts!$B$16:$B$20</c:f>
              <c:numCache>
                <c:formatCode>#,##0,"K"</c:formatCode>
                <c:ptCount val="4"/>
                <c:pt idx="0">
                  <c:v>11000</c:v>
                </c:pt>
                <c:pt idx="1">
                  <c:v>250000</c:v>
                </c:pt>
                <c:pt idx="2">
                  <c:v>130000</c:v>
                </c:pt>
                <c:pt idx="3">
                  <c:v>58000</c:v>
                </c:pt>
              </c:numCache>
            </c:numRef>
          </c:val>
          <c:extLst>
            <c:ext xmlns:c16="http://schemas.microsoft.com/office/drawing/2014/chart" uri="{C3380CC4-5D6E-409C-BE32-E72D297353CC}">
              <c16:uniqueId val="{00000000-6588-430A-8679-2B3F6477EE61}"/>
            </c:ext>
          </c:extLst>
        </c:ser>
        <c:dLbls>
          <c:dLblPos val="outEnd"/>
          <c:showLegendKey val="0"/>
          <c:showVal val="1"/>
          <c:showCatName val="0"/>
          <c:showSerName val="0"/>
          <c:showPercent val="0"/>
          <c:showBubbleSize val="0"/>
        </c:dLbls>
        <c:gapWidth val="182"/>
        <c:axId val="2061024543"/>
        <c:axId val="2061022623"/>
      </c:barChart>
      <c:catAx>
        <c:axId val="206102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022623"/>
        <c:crosses val="autoZero"/>
        <c:auto val="1"/>
        <c:lblAlgn val="ctr"/>
        <c:lblOffset val="100"/>
        <c:noMultiLvlLbl val="0"/>
      </c:catAx>
      <c:valAx>
        <c:axId val="2061022623"/>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02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[dashboard2.xlsx]Charts!PivotTable3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Charts!$L$3</c:f>
              <c:strCache>
                <c:ptCount val="1"/>
                <c:pt idx="0">
                  <c:v>Total</c:v>
                </c:pt>
              </c:strCache>
            </c:strRef>
          </c:tx>
          <c:spPr>
            <a:ln w="28575" cap="rnd">
              <a:solidFill>
                <a:schemeClr val="accent1"/>
              </a:solidFill>
              <a:round/>
            </a:ln>
            <a:effectLst/>
          </c:spPr>
          <c:marker>
            <c:symbol val="none"/>
          </c:marker>
          <c:cat>
            <c:strRef>
              <c:f>Charts!$K$4:$K$16</c:f>
              <c:strCache>
                <c:ptCount val="12"/>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strCache>
            </c:strRef>
          </c:cat>
          <c:val>
            <c:numRef>
              <c:f>Charts!$L$4:$L$16</c:f>
              <c:numCache>
                <c:formatCode>#,##0,"K"</c:formatCode>
                <c:ptCount val="12"/>
                <c:pt idx="0">
                  <c:v>60000</c:v>
                </c:pt>
                <c:pt idx="1">
                  <c:v>25000</c:v>
                </c:pt>
                <c:pt idx="2">
                  <c:v>70000</c:v>
                </c:pt>
                <c:pt idx="3">
                  <c:v>30000</c:v>
                </c:pt>
                <c:pt idx="4">
                  <c:v>40000</c:v>
                </c:pt>
                <c:pt idx="5">
                  <c:v>5000</c:v>
                </c:pt>
                <c:pt idx="6">
                  <c:v>55000</c:v>
                </c:pt>
                <c:pt idx="7">
                  <c:v>30000</c:v>
                </c:pt>
                <c:pt idx="8">
                  <c:v>6000</c:v>
                </c:pt>
                <c:pt idx="9">
                  <c:v>28000</c:v>
                </c:pt>
                <c:pt idx="10">
                  <c:v>65000</c:v>
                </c:pt>
                <c:pt idx="11">
                  <c:v>35000</c:v>
                </c:pt>
              </c:numCache>
            </c:numRef>
          </c:val>
          <c:smooth val="0"/>
          <c:extLst>
            <c:ext xmlns:c16="http://schemas.microsoft.com/office/drawing/2014/chart" uri="{C3380CC4-5D6E-409C-BE32-E72D297353CC}">
              <c16:uniqueId val="{00000000-0D5F-4CB8-B726-3D6DB8414648}"/>
            </c:ext>
          </c:extLst>
        </c:ser>
        <c:dLbls>
          <c:showLegendKey val="0"/>
          <c:showVal val="0"/>
          <c:showCatName val="0"/>
          <c:showSerName val="0"/>
          <c:showPercent val="0"/>
          <c:showBubbleSize val="0"/>
        </c:dLbls>
        <c:smooth val="0"/>
        <c:axId val="2063113743"/>
        <c:axId val="2063112303"/>
      </c:lineChart>
      <c:catAx>
        <c:axId val="2063113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12303"/>
        <c:crosses val="autoZero"/>
        <c:auto val="1"/>
        <c:lblAlgn val="ctr"/>
        <c:lblOffset val="100"/>
        <c:noMultiLvlLbl val="0"/>
      </c:catAx>
      <c:valAx>
        <c:axId val="2063112303"/>
        <c:scaling>
          <c:orientation val="minMax"/>
        </c:scaling>
        <c:delete val="0"/>
        <c:axPos val="l"/>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1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[dashboard2.xlsx]Charts!PivotTable4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025839793281663"/>
              <c:y val="-3.33333333333333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1529702198078"/>
                  <c:h val="0.22609782868050585"/>
                </c:manualLayout>
              </c15:layout>
            </c:ext>
          </c:extLst>
        </c:dLbl>
      </c:pivotFmt>
      <c:pivotFmt>
        <c:idx val="2"/>
        <c:spPr>
          <a:solidFill>
            <a:schemeClr val="accent1"/>
          </a:solidFill>
          <a:ln w="19050">
            <a:solidFill>
              <a:schemeClr val="lt1"/>
            </a:solidFill>
          </a:ln>
          <a:effectLst/>
        </c:spPr>
        <c:dLbl>
          <c:idx val="0"/>
          <c:layout>
            <c:manualLayout>
              <c:x val="0.27562446167097338"/>
              <c:y val="3.63636363636362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025839793281663"/>
              <c:y val="-3.33333333333333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1529702198078"/>
                  <c:h val="0.22609782868050585"/>
                </c:manualLayout>
              </c15:layout>
            </c:ext>
          </c:extLst>
        </c:dLbl>
      </c:pivotFmt>
      <c:pivotFmt>
        <c:idx val="5"/>
        <c:spPr>
          <a:solidFill>
            <a:schemeClr val="accent1"/>
          </a:solidFill>
          <a:ln w="19050">
            <a:solidFill>
              <a:schemeClr val="lt1"/>
            </a:solidFill>
          </a:ln>
          <a:effectLst/>
        </c:spPr>
        <c:dLbl>
          <c:idx val="0"/>
          <c:layout>
            <c:manualLayout>
              <c:x val="0.27562446167097338"/>
              <c:y val="3.63636363636362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Charts!$L$18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B4-45EA-AA5A-12CC3046C2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B4-45EA-AA5A-12CC3046C207}"/>
              </c:ext>
            </c:extLst>
          </c:dPt>
          <c:dLbls>
            <c:dLbl>
              <c:idx val="0"/>
              <c:layout>
                <c:manualLayout>
                  <c:x val="0.20025839793281663"/>
                  <c:y val="-3.33333333333333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1529702198078"/>
                      <c:h val="0.22609782868050585"/>
                    </c:manualLayout>
                  </c15:layout>
                </c:ext>
                <c:ext xmlns:c16="http://schemas.microsoft.com/office/drawing/2014/chart" uri="{C3380CC4-5D6E-409C-BE32-E72D297353CC}">
                  <c16:uniqueId val="{00000001-30B4-45EA-AA5A-12CC3046C207}"/>
                </c:ext>
              </c:extLst>
            </c:dLbl>
            <c:dLbl>
              <c:idx val="1"/>
              <c:layout>
                <c:manualLayout>
                  <c:x val="0.27562446167097338"/>
                  <c:y val="3.63636363636362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B4-45EA-AA5A-12CC3046C20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Charts!$K$19:$K$21</c:f>
              <c:strCache>
                <c:ptCount val="2"/>
                <c:pt idx="0">
                  <c:v>Accessories</c:v>
                </c:pt>
                <c:pt idx="1">
                  <c:v>Electronics</c:v>
                </c:pt>
              </c:strCache>
            </c:strRef>
          </c:cat>
          <c:val>
            <c:numRef>
              <c:f>Charts!$L$19:$L$21</c:f>
              <c:numCache>
                <c:formatCode>#,##0,"K"</c:formatCode>
                <c:ptCount val="2"/>
                <c:pt idx="0">
                  <c:v>11000</c:v>
                </c:pt>
                <c:pt idx="1">
                  <c:v>438000</c:v>
                </c:pt>
              </c:numCache>
            </c:numRef>
          </c:val>
          <c:extLst>
            <c:ext xmlns:c16="http://schemas.microsoft.com/office/drawing/2014/chart" uri="{C3380CC4-5D6E-409C-BE32-E72D297353CC}">
              <c16:uniqueId val="{00000004-30B4-45EA-AA5A-12CC3046C20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4868844093204"/>
          <c:y val="4.7498231285846675E-2"/>
          <c:w val="0.85787119052714356"/>
          <c:h val="0.7647082455785551"/>
        </c:manualLayout>
      </c:layout>
      <c:barChart>
        <c:barDir val="col"/>
        <c:grouping val="clustered"/>
        <c:varyColors val="0"/>
        <c:ser>
          <c:idx val="0"/>
          <c:order val="0"/>
          <c:tx>
            <c:v>Total</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Calicut</c:v>
              </c:pt>
              <c:pt idx="1">
                <c:v>Kannur</c:v>
              </c:pt>
              <c:pt idx="2">
                <c:v>Kochi</c:v>
              </c:pt>
            </c:strLit>
          </c:cat>
          <c:val>
            <c:numLit>
              <c:formatCode>General</c:formatCode>
              <c:ptCount val="3"/>
              <c:pt idx="0">
                <c:v>58000</c:v>
              </c:pt>
              <c:pt idx="1">
                <c:v>120000</c:v>
              </c:pt>
              <c:pt idx="2">
                <c:v>271000</c:v>
              </c:pt>
            </c:numLit>
          </c:val>
          <c:extLst>
            <c:ext xmlns:c16="http://schemas.microsoft.com/office/drawing/2014/chart" uri="{C3380CC4-5D6E-409C-BE32-E72D297353CC}">
              <c16:uniqueId val="{00000000-2F9A-43B2-A05B-DF4EF9E2B2D0}"/>
            </c:ext>
          </c:extLst>
        </c:ser>
        <c:dLbls>
          <c:dLblPos val="outEnd"/>
          <c:showLegendKey val="0"/>
          <c:showVal val="1"/>
          <c:showCatName val="0"/>
          <c:showSerName val="0"/>
          <c:showPercent val="0"/>
          <c:showBubbleSize val="0"/>
        </c:dLbls>
        <c:gapWidth val="219"/>
        <c:overlap val="-27"/>
        <c:axId val="1832361775"/>
        <c:axId val="1832362255"/>
      </c:barChart>
      <c:catAx>
        <c:axId val="1832361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62255"/>
        <c:crosses val="autoZero"/>
        <c:auto val="1"/>
        <c:lblAlgn val="ctr"/>
        <c:lblOffset val="100"/>
        <c:noMultiLvlLbl val="0"/>
      </c:catAx>
      <c:valAx>
        <c:axId val="18323622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6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s>
    <c:plotArea>
      <c:layout>
        <c:manualLayout>
          <c:layoutTarget val="inner"/>
          <c:xMode val="edge"/>
          <c:yMode val="edge"/>
          <c:x val="0.24233682613017563"/>
          <c:y val="0.15464957041906413"/>
          <c:w val="0.69151514050109331"/>
          <c:h val="0.66852322043295798"/>
        </c:manualLayout>
      </c:layout>
      <c:barChart>
        <c:barDir val="bar"/>
        <c:grouping val="clustered"/>
        <c:varyColors val="0"/>
        <c:ser>
          <c:idx val="0"/>
          <c:order val="0"/>
          <c:tx>
            <c:v>Total</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Headphones</c:v>
              </c:pt>
              <c:pt idx="1">
                <c:v>Laptop</c:v>
              </c:pt>
              <c:pt idx="2">
                <c:v>Phone</c:v>
              </c:pt>
              <c:pt idx="3">
                <c:v>Tablet</c:v>
              </c:pt>
            </c:strLit>
          </c:cat>
          <c:val>
            <c:numLit>
              <c:formatCode>General</c:formatCode>
              <c:ptCount val="4"/>
              <c:pt idx="0">
                <c:v>11000</c:v>
              </c:pt>
              <c:pt idx="1">
                <c:v>250000</c:v>
              </c:pt>
              <c:pt idx="2">
                <c:v>130000</c:v>
              </c:pt>
              <c:pt idx="3">
                <c:v>58000</c:v>
              </c:pt>
            </c:numLit>
          </c:val>
          <c:extLst>
            <c:ext xmlns:c16="http://schemas.microsoft.com/office/drawing/2014/chart" uri="{C3380CC4-5D6E-409C-BE32-E72D297353CC}">
              <c16:uniqueId val="{00000000-C60B-4E8F-8162-505F01CE515F}"/>
            </c:ext>
          </c:extLst>
        </c:ser>
        <c:dLbls>
          <c:dLblPos val="outEnd"/>
          <c:showLegendKey val="0"/>
          <c:showVal val="1"/>
          <c:showCatName val="0"/>
          <c:showSerName val="0"/>
          <c:showPercent val="0"/>
          <c:showBubbleSize val="0"/>
        </c:dLbls>
        <c:gapWidth val="182"/>
        <c:axId val="2061024543"/>
        <c:axId val="2061022623"/>
      </c:barChart>
      <c:catAx>
        <c:axId val="206102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022623"/>
        <c:crosses val="autoZero"/>
        <c:auto val="1"/>
        <c:lblAlgn val="ctr"/>
        <c:lblOffset val="100"/>
        <c:noMultiLvlLbl val="0"/>
      </c:catAx>
      <c:valAx>
        <c:axId val="2061022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02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0025839793281663"/>
              <c:y val="-3.33333333333333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1529702198078"/>
                  <c:h val="0.22609782868050585"/>
                </c:manualLayout>
              </c15:layout>
            </c:ext>
          </c:extLst>
        </c:dLbl>
      </c:pivotFmt>
      <c:pivotFmt>
        <c:idx val="2"/>
        <c:spPr>
          <a:solidFill>
            <a:schemeClr val="accent2"/>
          </a:solidFill>
          <a:ln w="19050">
            <a:solidFill>
              <a:schemeClr val="lt1"/>
            </a:solidFill>
          </a:ln>
          <a:effectLst/>
        </c:spPr>
        <c:dLbl>
          <c:idx val="0"/>
          <c:layout>
            <c:manualLayout>
              <c:x val="0.27562446167097338"/>
              <c:y val="3.63636363636362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0025839793281663"/>
              <c:y val="-3.33333333333333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1529702198078"/>
                  <c:h val="0.22609782868050585"/>
                </c:manualLayout>
              </c15:layout>
            </c:ext>
          </c:extLst>
        </c:dLbl>
      </c:pivotFmt>
      <c:pivotFmt>
        <c:idx val="5"/>
        <c:spPr>
          <a:solidFill>
            <a:schemeClr val="accent1"/>
          </a:solidFill>
          <a:ln w="19050">
            <a:solidFill>
              <a:schemeClr val="lt1"/>
            </a:solidFill>
          </a:ln>
          <a:effectLst/>
        </c:spPr>
        <c:dLbl>
          <c:idx val="0"/>
          <c:layout>
            <c:manualLayout>
              <c:x val="0.27562446167097338"/>
              <c:y val="3.63636363636362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8401455879906751"/>
              <c:y val="-3.874129334378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1529702198078"/>
                  <c:h val="0.22609782868050585"/>
                </c:manualLayout>
              </c15:layout>
            </c:ext>
          </c:extLst>
        </c:dLbl>
      </c:pivotFmt>
      <c:pivotFmt>
        <c:idx val="8"/>
        <c:spPr>
          <a:solidFill>
            <a:schemeClr val="accent6">
              <a:lumMod val="75000"/>
            </a:schemeClr>
          </a:solidFill>
          <a:ln w="19050">
            <a:solidFill>
              <a:schemeClr val="lt1"/>
            </a:solidFill>
          </a:ln>
          <a:effectLst/>
        </c:spPr>
        <c:dLbl>
          <c:idx val="0"/>
          <c:layout>
            <c:manualLayout>
              <c:x val="0.27562446167097338"/>
              <c:y val="3.63636363636362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30-4AB4-83E5-D3FE5A2BC24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D30-4AB4-83E5-D3FE5A2BC24A}"/>
              </c:ext>
            </c:extLst>
          </c:dPt>
          <c:dLbls>
            <c:dLbl>
              <c:idx val="0"/>
              <c:layout>
                <c:manualLayout>
                  <c:x val="0.28401455879906751"/>
                  <c:y val="-3.874129334378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351529702198078"/>
                      <c:h val="0.22609782868050585"/>
                    </c:manualLayout>
                  </c15:layout>
                </c:ext>
                <c:ext xmlns:c16="http://schemas.microsoft.com/office/drawing/2014/chart" uri="{C3380CC4-5D6E-409C-BE32-E72D297353CC}">
                  <c16:uniqueId val="{00000001-BD30-4AB4-83E5-D3FE5A2BC24A}"/>
                </c:ext>
              </c:extLst>
            </c:dLbl>
            <c:dLbl>
              <c:idx val="1"/>
              <c:layout>
                <c:manualLayout>
                  <c:x val="0.27562446167097338"/>
                  <c:y val="3.63636363636362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30-4AB4-83E5-D3FE5A2BC24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Accessories</c:v>
              </c:pt>
              <c:pt idx="1">
                <c:v>Electronics</c:v>
              </c:pt>
            </c:strLit>
          </c:cat>
          <c:val>
            <c:numLit>
              <c:formatCode>General</c:formatCode>
              <c:ptCount val="2"/>
              <c:pt idx="0">
                <c:v>11000</c:v>
              </c:pt>
              <c:pt idx="1">
                <c:v>438000</c:v>
              </c:pt>
            </c:numLit>
          </c:val>
          <c:extLst>
            <c:ext xmlns:c16="http://schemas.microsoft.com/office/drawing/2014/chart" uri="{C3380CC4-5D6E-409C-BE32-E72D297353CC}">
              <c16:uniqueId val="{00000004-BD30-4AB4-83E5-D3FE5A2BC24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Monthly</a:t>
            </a:r>
            <a:r>
              <a:rPr lang="en-US" sz="1200" b="1" baseline="0"/>
              <a:t> sales trend</a:t>
            </a:r>
            <a:endParaRPr lang="en-US" sz="1200" b="1"/>
          </a:p>
        </c:rich>
      </c:tx>
      <c:layout>
        <c:manualLayout>
          <c:xMode val="edge"/>
          <c:yMode val="edge"/>
          <c:x val="0.219797272476264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78614912011025"/>
          <c:y val="5.47073212693127E-2"/>
          <c:w val="0.82865224293665862"/>
          <c:h val="0.57199356919541777"/>
        </c:manualLayout>
      </c:layout>
      <c:barChart>
        <c:barDir val="col"/>
        <c:grouping val="clustered"/>
        <c:varyColors val="0"/>
        <c:ser>
          <c:idx val="0"/>
          <c:order val="0"/>
          <c:tx>
            <c:v>Total</c:v>
          </c:tx>
          <c:spPr>
            <a:solidFill>
              <a:schemeClr val="accent6">
                <a:lumMod val="75000"/>
              </a:schemeClr>
            </a:solidFill>
            <a:ln>
              <a:noFill/>
            </a:ln>
            <a:effectLst/>
          </c:spPr>
          <c:invertIfNegative val="0"/>
          <c:cat>
            <c:strLit>
              <c:ptCount val="12"/>
              <c:pt idx="0">
                <c:v>01-09-2026</c:v>
              </c:pt>
              <c:pt idx="1">
                <c:v>02-09-2026</c:v>
              </c:pt>
              <c:pt idx="2">
                <c:v>03-09-2026</c:v>
              </c:pt>
              <c:pt idx="3">
                <c:v>04-09-2026</c:v>
              </c:pt>
              <c:pt idx="4">
                <c:v>05-09-2026</c:v>
              </c:pt>
              <c:pt idx="5">
                <c:v>06-09-2026</c:v>
              </c:pt>
              <c:pt idx="6">
                <c:v>07-09-2026</c:v>
              </c:pt>
              <c:pt idx="7">
                <c:v>08-09-2026</c:v>
              </c:pt>
              <c:pt idx="8">
                <c:v>09-09-2026</c:v>
              </c:pt>
              <c:pt idx="9">
                <c:v>10-09-2026</c:v>
              </c:pt>
              <c:pt idx="10">
                <c:v>11-09-2026</c:v>
              </c:pt>
              <c:pt idx="11">
                <c:v>12-09-2026</c:v>
              </c:pt>
            </c:strLit>
          </c:cat>
          <c:val>
            <c:numLit>
              <c:formatCode>General</c:formatCode>
              <c:ptCount val="12"/>
              <c:pt idx="0">
                <c:v>60000</c:v>
              </c:pt>
              <c:pt idx="1">
                <c:v>25000</c:v>
              </c:pt>
              <c:pt idx="2">
                <c:v>70000</c:v>
              </c:pt>
              <c:pt idx="3">
                <c:v>30000</c:v>
              </c:pt>
              <c:pt idx="4">
                <c:v>40000</c:v>
              </c:pt>
              <c:pt idx="5">
                <c:v>5000</c:v>
              </c:pt>
              <c:pt idx="6">
                <c:v>55000</c:v>
              </c:pt>
              <c:pt idx="7">
                <c:v>30000</c:v>
              </c:pt>
              <c:pt idx="8">
                <c:v>6000</c:v>
              </c:pt>
              <c:pt idx="9">
                <c:v>28000</c:v>
              </c:pt>
              <c:pt idx="10">
                <c:v>65000</c:v>
              </c:pt>
              <c:pt idx="11">
                <c:v>35000</c:v>
              </c:pt>
            </c:numLit>
          </c:val>
          <c:extLst>
            <c:ext xmlns:c16="http://schemas.microsoft.com/office/drawing/2014/chart" uri="{C3380CC4-5D6E-409C-BE32-E72D297353CC}">
              <c16:uniqueId val="{00000000-A653-4D39-A8CB-B04D2EF5791F}"/>
            </c:ext>
          </c:extLst>
        </c:ser>
        <c:dLbls>
          <c:showLegendKey val="0"/>
          <c:showVal val="0"/>
          <c:showCatName val="0"/>
          <c:showSerName val="0"/>
          <c:showPercent val="0"/>
          <c:showBubbleSize val="0"/>
        </c:dLbls>
        <c:gapWidth val="219"/>
        <c:overlap val="-27"/>
        <c:axId val="868211295"/>
        <c:axId val="1294936847"/>
      </c:barChart>
      <c:catAx>
        <c:axId val="86821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936847"/>
        <c:crosses val="autoZero"/>
        <c:auto val="1"/>
        <c:lblAlgn val="ctr"/>
        <c:lblOffset val="100"/>
        <c:noMultiLvlLbl val="0"/>
      </c:catAx>
      <c:valAx>
        <c:axId val="129493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11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1.666667760280690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
              <c:y val="-5.833337160982388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6">
                <a:lumMod val="75000"/>
              </a:schemeClr>
            </a:solidFill>
            <a:ln>
              <a:noFill/>
            </a:ln>
            <a:effectLst/>
          </c:spPr>
          <c:dPt>
            <c:idx val="2"/>
            <c:bubble3D val="0"/>
            <c:extLst>
              <c:ext xmlns:c16="http://schemas.microsoft.com/office/drawing/2014/chart" uri="{C3380CC4-5D6E-409C-BE32-E72D297353CC}">
                <c16:uniqueId val="{00000000-8F88-4517-ACBC-252D17094DAF}"/>
              </c:ext>
            </c:extLst>
          </c:dPt>
          <c:dPt>
            <c:idx val="3"/>
            <c:bubble3D val="0"/>
            <c:extLst>
              <c:ext xmlns:c16="http://schemas.microsoft.com/office/drawing/2014/chart" uri="{C3380CC4-5D6E-409C-BE32-E72D297353CC}">
                <c16:uniqueId val="{00000001-8F88-4517-ACBC-252D17094DAF}"/>
              </c:ext>
            </c:extLst>
          </c:dPt>
          <c:dLbls>
            <c:dLbl>
              <c:idx val="2"/>
              <c:layout>
                <c:manualLayout>
                  <c:x val="0"/>
                  <c:y val="-1.6666677602806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88-4517-ACBC-252D17094DAF}"/>
                </c:ext>
              </c:extLst>
            </c:dLbl>
            <c:dLbl>
              <c:idx val="3"/>
              <c:layout>
                <c:manualLayout>
                  <c:x val="0"/>
                  <c:y val="-5.8333371609823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88-4517-ACBC-252D17094DA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Headphones</c:v>
              </c:pt>
              <c:pt idx="1">
                <c:v>Laptop</c:v>
              </c:pt>
              <c:pt idx="2">
                <c:v>Phone</c:v>
              </c:pt>
              <c:pt idx="3">
                <c:v>Tablet</c:v>
              </c:pt>
            </c:strLit>
          </c:cat>
          <c:val>
            <c:numLit>
              <c:formatCode>General</c:formatCode>
              <c:ptCount val="4"/>
              <c:pt idx="0">
                <c:v>11</c:v>
              </c:pt>
              <c:pt idx="1">
                <c:v>6</c:v>
              </c:pt>
              <c:pt idx="2">
                <c:v>5</c:v>
              </c:pt>
              <c:pt idx="3">
                <c:v>4</c:v>
              </c:pt>
            </c:numLit>
          </c:val>
          <c:extLst>
            <c:ext xmlns:c16="http://schemas.microsoft.com/office/drawing/2014/chart" uri="{C3380CC4-5D6E-409C-BE32-E72D297353CC}">
              <c16:uniqueId val="{00000002-8F88-4517-ACBC-252D17094DAF}"/>
            </c:ext>
          </c:extLst>
        </c:ser>
        <c:dLbls>
          <c:showLegendKey val="0"/>
          <c:showVal val="1"/>
          <c:showCatName val="0"/>
          <c:showSerName val="0"/>
          <c:showPercent val="0"/>
          <c:showBubbleSize val="0"/>
        </c:dLbls>
        <c:axId val="1455773359"/>
        <c:axId val="1455757039"/>
      </c:areaChart>
      <c:catAx>
        <c:axId val="145577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57039"/>
        <c:crosses val="autoZero"/>
        <c:auto val="1"/>
        <c:lblAlgn val="ctr"/>
        <c:lblOffset val="100"/>
        <c:noMultiLvlLbl val="0"/>
      </c:catAx>
      <c:valAx>
        <c:axId val="1455757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7733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Dashboard!A1"/><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ta!A1"/><Relationship Id="rId7" Type="http://schemas.openxmlformats.org/officeDocument/2006/relationships/image" Target="../media/image4.svg"/><Relationship Id="rId12" Type="http://schemas.openxmlformats.org/officeDocument/2006/relationships/chart" Target="../charts/chart9.xml"/><Relationship Id="rId2" Type="http://schemas.openxmlformats.org/officeDocument/2006/relationships/hyperlink" Target="#Charts!A1"/><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chart" Target="../charts/chart8.xml"/><Relationship Id="rId5" Type="http://schemas.openxmlformats.org/officeDocument/2006/relationships/image" Target="../media/image2.svg"/><Relationship Id="rId10" Type="http://schemas.openxmlformats.org/officeDocument/2006/relationships/chart" Target="../charts/chart7.xml"/><Relationship Id="rId4" Type="http://schemas.openxmlformats.org/officeDocument/2006/relationships/image" Target="../media/image1.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358140</xdr:colOff>
      <xdr:row>4</xdr:row>
      <xdr:rowOff>160020</xdr:rowOff>
    </xdr:from>
    <xdr:to>
      <xdr:col>9</xdr:col>
      <xdr:colOff>45720</xdr:colOff>
      <xdr:row>6</xdr:row>
      <xdr:rowOff>121920</xdr:rowOff>
    </xdr:to>
    <xdr:sp macro="" textlink="">
      <xdr:nvSpPr>
        <xdr:cNvPr id="2" name="Oval 1">
          <a:hlinkClick xmlns:r="http://schemas.openxmlformats.org/officeDocument/2006/relationships" r:id="rId1"/>
          <a:extLst>
            <a:ext uri="{FF2B5EF4-FFF2-40B4-BE49-F238E27FC236}">
              <a16:creationId xmlns:a16="http://schemas.microsoft.com/office/drawing/2014/main" id="{51875E2E-FE2F-443A-9989-529009C614D4}"/>
            </a:ext>
          </a:extLst>
        </xdr:cNvPr>
        <xdr:cNvSpPr/>
      </xdr:nvSpPr>
      <xdr:spPr>
        <a:xfrm>
          <a:off x="5356860" y="891540"/>
          <a:ext cx="906780" cy="327660"/>
        </a:xfrm>
        <a:prstGeom prst="ellipse">
          <a:avLst/>
        </a:prstGeom>
        <a:solidFill>
          <a:srgbClr val="45C3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83820</xdr:colOff>
      <xdr:row>2</xdr:row>
      <xdr:rowOff>15240</xdr:rowOff>
    </xdr:from>
    <xdr:to>
      <xdr:col>9</xdr:col>
      <xdr:colOff>68580</xdr:colOff>
      <xdr:row>13</xdr:row>
      <xdr:rowOff>160020</xdr:rowOff>
    </xdr:to>
    <xdr:graphicFrame macro="">
      <xdr:nvGraphicFramePr>
        <xdr:cNvPr id="2" name="Chart 1">
          <a:extLst>
            <a:ext uri="{FF2B5EF4-FFF2-40B4-BE49-F238E27FC236}">
              <a16:creationId xmlns:a16="http://schemas.microsoft.com/office/drawing/2014/main" id="{A95F90D2-661B-4790-AC4C-116B319F9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15</xdr:row>
      <xdr:rowOff>38100</xdr:rowOff>
    </xdr:from>
    <xdr:to>
      <xdr:col>9</xdr:col>
      <xdr:colOff>259080</xdr:colOff>
      <xdr:row>26</xdr:row>
      <xdr:rowOff>83820</xdr:rowOff>
    </xdr:to>
    <xdr:graphicFrame macro="">
      <xdr:nvGraphicFramePr>
        <xdr:cNvPr id="3" name="Chart 2">
          <a:extLst>
            <a:ext uri="{FF2B5EF4-FFF2-40B4-BE49-F238E27FC236}">
              <a16:creationId xmlns:a16="http://schemas.microsoft.com/office/drawing/2014/main" id="{B6D46227-50ED-4ECA-A454-77600AE34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137160</xdr:colOff>
      <xdr:row>2</xdr:row>
      <xdr:rowOff>121920</xdr:rowOff>
    </xdr:from>
    <xdr:to>
      <xdr:col>17</xdr:col>
      <xdr:colOff>220980</xdr:colOff>
      <xdr:row>14</xdr:row>
      <xdr:rowOff>7620</xdr:rowOff>
    </xdr:to>
    <xdr:graphicFrame macro="">
      <xdr:nvGraphicFramePr>
        <xdr:cNvPr id="4" name="Chart 3">
          <a:extLst>
            <a:ext uri="{FF2B5EF4-FFF2-40B4-BE49-F238E27FC236}">
              <a16:creationId xmlns:a16="http://schemas.microsoft.com/office/drawing/2014/main" id="{5C642675-1C6D-4F01-93CE-AD5F709E9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304800</xdr:colOff>
      <xdr:row>14</xdr:row>
      <xdr:rowOff>137160</xdr:rowOff>
    </xdr:from>
    <xdr:to>
      <xdr:col>16</xdr:col>
      <xdr:colOff>396240</xdr:colOff>
      <xdr:row>26</xdr:row>
      <xdr:rowOff>38100</xdr:rowOff>
    </xdr:to>
    <xdr:graphicFrame macro="">
      <xdr:nvGraphicFramePr>
        <xdr:cNvPr id="5" name="Chart 4">
          <a:extLst>
            <a:ext uri="{FF2B5EF4-FFF2-40B4-BE49-F238E27FC236}">
              <a16:creationId xmlns:a16="http://schemas.microsoft.com/office/drawing/2014/main" id="{23AE1E58-9D1C-4528-A85D-2ABF0E108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723900</xdr:colOff>
      <xdr:row>21</xdr:row>
      <xdr:rowOff>167640</xdr:rowOff>
    </xdr:from>
    <xdr:to>
      <xdr:col>2</xdr:col>
      <xdr:colOff>220980</xdr:colOff>
      <xdr:row>24</xdr:row>
      <xdr:rowOff>129540</xdr:rowOff>
    </xdr:to>
    <xdr:sp macro="" textlink="">
      <xdr:nvSpPr>
        <xdr:cNvPr id="6" name="Oval 5">
          <a:hlinkClick xmlns:r="http://schemas.openxmlformats.org/officeDocument/2006/relationships" r:id="rId5"/>
          <a:extLst>
            <a:ext uri="{FF2B5EF4-FFF2-40B4-BE49-F238E27FC236}">
              <a16:creationId xmlns:a16="http://schemas.microsoft.com/office/drawing/2014/main" id="{4971EFD1-13B0-480C-B83D-A281FC9CED73}"/>
            </a:ext>
          </a:extLst>
        </xdr:cNvPr>
        <xdr:cNvSpPr/>
      </xdr:nvSpPr>
      <xdr:spPr>
        <a:xfrm>
          <a:off x="723900" y="4008120"/>
          <a:ext cx="1325880" cy="510540"/>
        </a:xfrm>
        <a:prstGeom prst="ellipse">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solidFill>
                <a:schemeClr val="bg1"/>
              </a:solidFill>
            </a:rPr>
            <a:t>BACK</a:t>
          </a:r>
        </a:p>
      </xdr:txBody>
    </xdr:sp>
    <xdr:clientData/>
  </xdr:twoCellAnchor>
  <xdr:twoCellAnchor editAs="oneCell">
    <xdr:from>
      <xdr:col>17</xdr:col>
      <xdr:colOff>381000</xdr:colOff>
      <xdr:row>3</xdr:row>
      <xdr:rowOff>106680</xdr:rowOff>
    </xdr:from>
    <xdr:to>
      <xdr:col>23</xdr:col>
      <xdr:colOff>60960</xdr:colOff>
      <xdr:row>11</xdr:row>
      <xdr:rowOff>15240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E467D74C-268A-4186-AD24-3FAB312584C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245340" y="6553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266700</xdr:colOff>
      <xdr:row>15</xdr:row>
      <xdr:rowOff>22860</xdr:rowOff>
    </xdr:from>
    <xdr:to>
      <xdr:col>20</xdr:col>
      <xdr:colOff>266700</xdr:colOff>
      <xdr:row>29</xdr:row>
      <xdr:rowOff>43815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45FE776-F586-4FC6-9D20-65D5CBE061A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131040" y="2766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480060</xdr:colOff>
      <xdr:row>8</xdr:row>
      <xdr:rowOff>83820</xdr:rowOff>
    </xdr:from>
    <xdr:to>
      <xdr:col>5</xdr:col>
      <xdr:colOff>114300</xdr:colOff>
      <xdr:row>22</xdr:row>
      <xdr:rowOff>104775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ED721E17-8A98-47EB-969B-C01D38B9D58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25980" y="1546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76200</xdr:rowOff>
    </xdr:from>
    <xdr:to>
      <xdr:col>21</xdr:col>
      <xdr:colOff>230703</xdr:colOff>
      <xdr:row>29</xdr:row>
      <xdr:rowOff>117763</xdr:rowOff>
    </xdr:to>
    <xdr:sp macro="" textlink="">
      <xdr:nvSpPr>
        <xdr:cNvPr id="2" name="Rectangle: Rounded Corners 4">
          <a:extLst>
            <a:ext uri="{FF2B5EF4-FFF2-40B4-BE49-F238E27FC236}">
              <a16:creationId xmlns:a16="http://schemas.microsoft.com/office/drawing/2014/main" id="{7E00991B-E4CC-4391-B0B6-C3AC1530B285}"/>
            </a:ext>
          </a:extLst>
        </xdr:cNvPr>
        <xdr:cNvSpPr/>
      </xdr:nvSpPr>
      <xdr:spPr>
        <a:xfrm>
          <a:off x="1" y="76200"/>
          <a:ext cx="13032302" cy="5345083"/>
        </a:xfrm>
        <a:custGeom>
          <a:avLst/>
          <a:gdLst>
            <a:gd name="connsiteX0" fmla="*/ 0 w 13032297"/>
            <a:gd name="connsiteY0" fmla="*/ 766882 h 4601197"/>
            <a:gd name="connsiteX1" fmla="*/ 766882 w 13032297"/>
            <a:gd name="connsiteY1" fmla="*/ 0 h 4601197"/>
            <a:gd name="connsiteX2" fmla="*/ 12265415 w 13032297"/>
            <a:gd name="connsiteY2" fmla="*/ 0 h 4601197"/>
            <a:gd name="connsiteX3" fmla="*/ 13032297 w 13032297"/>
            <a:gd name="connsiteY3" fmla="*/ 766882 h 4601197"/>
            <a:gd name="connsiteX4" fmla="*/ 13032297 w 13032297"/>
            <a:gd name="connsiteY4" fmla="*/ 3834315 h 4601197"/>
            <a:gd name="connsiteX5" fmla="*/ 12265415 w 13032297"/>
            <a:gd name="connsiteY5" fmla="*/ 4601197 h 4601197"/>
            <a:gd name="connsiteX6" fmla="*/ 766882 w 13032297"/>
            <a:gd name="connsiteY6" fmla="*/ 4601197 h 4601197"/>
            <a:gd name="connsiteX7" fmla="*/ 0 w 13032297"/>
            <a:gd name="connsiteY7" fmla="*/ 3834315 h 4601197"/>
            <a:gd name="connsiteX8" fmla="*/ 0 w 13032297"/>
            <a:gd name="connsiteY8" fmla="*/ 766882 h 4601197"/>
            <a:gd name="connsiteX0" fmla="*/ 0 w 13032302"/>
            <a:gd name="connsiteY0" fmla="*/ 766882 h 4601197"/>
            <a:gd name="connsiteX1" fmla="*/ 766882 w 13032302"/>
            <a:gd name="connsiteY1" fmla="*/ 0 h 4601197"/>
            <a:gd name="connsiteX2" fmla="*/ 12265415 w 13032302"/>
            <a:gd name="connsiteY2" fmla="*/ 0 h 4601197"/>
            <a:gd name="connsiteX3" fmla="*/ 13032297 w 13032302"/>
            <a:gd name="connsiteY3" fmla="*/ 766882 h 4601197"/>
            <a:gd name="connsiteX4" fmla="*/ 13032297 w 13032302"/>
            <a:gd name="connsiteY4" fmla="*/ 3834315 h 4601197"/>
            <a:gd name="connsiteX5" fmla="*/ 12615039 w 13032302"/>
            <a:gd name="connsiteY5" fmla="*/ 4583268 h 4601197"/>
            <a:gd name="connsiteX6" fmla="*/ 766882 w 13032302"/>
            <a:gd name="connsiteY6" fmla="*/ 4601197 h 4601197"/>
            <a:gd name="connsiteX7" fmla="*/ 0 w 13032302"/>
            <a:gd name="connsiteY7" fmla="*/ 3834315 h 4601197"/>
            <a:gd name="connsiteX8" fmla="*/ 0 w 13032302"/>
            <a:gd name="connsiteY8" fmla="*/ 766882 h 4601197"/>
            <a:gd name="connsiteX0" fmla="*/ 0 w 13032302"/>
            <a:gd name="connsiteY0" fmla="*/ 784811 h 4619126"/>
            <a:gd name="connsiteX1" fmla="*/ 766882 w 13032302"/>
            <a:gd name="connsiteY1" fmla="*/ 17929 h 4619126"/>
            <a:gd name="connsiteX2" fmla="*/ 12606074 w 13032302"/>
            <a:gd name="connsiteY2" fmla="*/ 0 h 4619126"/>
            <a:gd name="connsiteX3" fmla="*/ 13032297 w 13032302"/>
            <a:gd name="connsiteY3" fmla="*/ 784811 h 4619126"/>
            <a:gd name="connsiteX4" fmla="*/ 13032297 w 13032302"/>
            <a:gd name="connsiteY4" fmla="*/ 3852244 h 4619126"/>
            <a:gd name="connsiteX5" fmla="*/ 12615039 w 13032302"/>
            <a:gd name="connsiteY5" fmla="*/ 4601197 h 4619126"/>
            <a:gd name="connsiteX6" fmla="*/ 766882 w 13032302"/>
            <a:gd name="connsiteY6" fmla="*/ 4619126 h 4619126"/>
            <a:gd name="connsiteX7" fmla="*/ 0 w 13032302"/>
            <a:gd name="connsiteY7" fmla="*/ 3852244 h 4619126"/>
            <a:gd name="connsiteX8" fmla="*/ 0 w 13032302"/>
            <a:gd name="connsiteY8" fmla="*/ 784811 h 4619126"/>
            <a:gd name="connsiteX0" fmla="*/ 0 w 13032302"/>
            <a:gd name="connsiteY0" fmla="*/ 793776 h 4628091"/>
            <a:gd name="connsiteX1" fmla="*/ 453117 w 13032302"/>
            <a:gd name="connsiteY1" fmla="*/ 0 h 4628091"/>
            <a:gd name="connsiteX2" fmla="*/ 12606074 w 13032302"/>
            <a:gd name="connsiteY2" fmla="*/ 8965 h 4628091"/>
            <a:gd name="connsiteX3" fmla="*/ 13032297 w 13032302"/>
            <a:gd name="connsiteY3" fmla="*/ 793776 h 4628091"/>
            <a:gd name="connsiteX4" fmla="*/ 13032297 w 13032302"/>
            <a:gd name="connsiteY4" fmla="*/ 3861209 h 4628091"/>
            <a:gd name="connsiteX5" fmla="*/ 12615039 w 13032302"/>
            <a:gd name="connsiteY5" fmla="*/ 4610162 h 4628091"/>
            <a:gd name="connsiteX6" fmla="*/ 766882 w 13032302"/>
            <a:gd name="connsiteY6" fmla="*/ 4628091 h 4628091"/>
            <a:gd name="connsiteX7" fmla="*/ 0 w 13032302"/>
            <a:gd name="connsiteY7" fmla="*/ 3861209 h 4628091"/>
            <a:gd name="connsiteX8" fmla="*/ 0 w 13032302"/>
            <a:gd name="connsiteY8" fmla="*/ 793776 h 4628091"/>
            <a:gd name="connsiteX0" fmla="*/ 0 w 13032302"/>
            <a:gd name="connsiteY0" fmla="*/ 793776 h 4628091"/>
            <a:gd name="connsiteX1" fmla="*/ 453117 w 13032302"/>
            <a:gd name="connsiteY1" fmla="*/ 0 h 4628091"/>
            <a:gd name="connsiteX2" fmla="*/ 12606074 w 13032302"/>
            <a:gd name="connsiteY2" fmla="*/ 8965 h 4628091"/>
            <a:gd name="connsiteX3" fmla="*/ 13032297 w 13032302"/>
            <a:gd name="connsiteY3" fmla="*/ 793776 h 4628091"/>
            <a:gd name="connsiteX4" fmla="*/ 13032297 w 13032302"/>
            <a:gd name="connsiteY4" fmla="*/ 3861209 h 4628091"/>
            <a:gd name="connsiteX5" fmla="*/ 12615039 w 13032302"/>
            <a:gd name="connsiteY5" fmla="*/ 4610162 h 4628091"/>
            <a:gd name="connsiteX6" fmla="*/ 471047 w 13032302"/>
            <a:gd name="connsiteY6" fmla="*/ 4628091 h 4628091"/>
            <a:gd name="connsiteX7" fmla="*/ 0 w 13032302"/>
            <a:gd name="connsiteY7" fmla="*/ 3861209 h 4628091"/>
            <a:gd name="connsiteX8" fmla="*/ 0 w 13032302"/>
            <a:gd name="connsiteY8" fmla="*/ 793776 h 46280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032302" h="4628091">
              <a:moveTo>
                <a:pt x="0" y="793776"/>
              </a:moveTo>
              <a:cubicBezTo>
                <a:pt x="0" y="370239"/>
                <a:pt x="29580" y="0"/>
                <a:pt x="453117" y="0"/>
              </a:cubicBezTo>
              <a:lnTo>
                <a:pt x="12606074" y="8965"/>
              </a:lnTo>
              <a:cubicBezTo>
                <a:pt x="13029611" y="8965"/>
                <a:pt x="13032297" y="370239"/>
                <a:pt x="13032297" y="793776"/>
              </a:cubicBezTo>
              <a:lnTo>
                <a:pt x="13032297" y="3861209"/>
              </a:lnTo>
              <a:cubicBezTo>
                <a:pt x="13032297" y="4284746"/>
                <a:pt x="13038576" y="4610162"/>
                <a:pt x="12615039" y="4610162"/>
              </a:cubicBezTo>
              <a:lnTo>
                <a:pt x="471047" y="4628091"/>
              </a:lnTo>
              <a:cubicBezTo>
                <a:pt x="47510" y="4628091"/>
                <a:pt x="0" y="4284746"/>
                <a:pt x="0" y="3861209"/>
              </a:cubicBezTo>
              <a:lnTo>
                <a:pt x="0" y="793776"/>
              </a:lnTo>
              <a:close/>
            </a:path>
          </a:pathLst>
        </a:cu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283938</xdr:colOff>
      <xdr:row>0</xdr:row>
      <xdr:rowOff>103909</xdr:rowOff>
    </xdr:from>
    <xdr:to>
      <xdr:col>20</xdr:col>
      <xdr:colOff>600636</xdr:colOff>
      <xdr:row>29</xdr:row>
      <xdr:rowOff>27708</xdr:rowOff>
    </xdr:to>
    <xdr:sp macro="" textlink="">
      <xdr:nvSpPr>
        <xdr:cNvPr id="3" name="Rectangle: Rounded Corners 5">
          <a:extLst>
            <a:ext uri="{FF2B5EF4-FFF2-40B4-BE49-F238E27FC236}">
              <a16:creationId xmlns:a16="http://schemas.microsoft.com/office/drawing/2014/main" id="{E2602A53-9343-47E6-A680-ECCE52C7350E}"/>
            </a:ext>
          </a:extLst>
        </xdr:cNvPr>
        <xdr:cNvSpPr/>
      </xdr:nvSpPr>
      <xdr:spPr>
        <a:xfrm>
          <a:off x="2112738" y="103909"/>
          <a:ext cx="10679898" cy="5227319"/>
        </a:xfrm>
        <a:custGeom>
          <a:avLst/>
          <a:gdLst>
            <a:gd name="connsiteX0" fmla="*/ 0 w 11520881"/>
            <a:gd name="connsiteY0" fmla="*/ 777162 h 4662881"/>
            <a:gd name="connsiteX1" fmla="*/ 777162 w 11520881"/>
            <a:gd name="connsiteY1" fmla="*/ 0 h 4662881"/>
            <a:gd name="connsiteX2" fmla="*/ 10743719 w 11520881"/>
            <a:gd name="connsiteY2" fmla="*/ 0 h 4662881"/>
            <a:gd name="connsiteX3" fmla="*/ 11520881 w 11520881"/>
            <a:gd name="connsiteY3" fmla="*/ 777162 h 4662881"/>
            <a:gd name="connsiteX4" fmla="*/ 11520881 w 11520881"/>
            <a:gd name="connsiteY4" fmla="*/ 3885719 h 4662881"/>
            <a:gd name="connsiteX5" fmla="*/ 10743719 w 11520881"/>
            <a:gd name="connsiteY5" fmla="*/ 4662881 h 4662881"/>
            <a:gd name="connsiteX6" fmla="*/ 777162 w 11520881"/>
            <a:gd name="connsiteY6" fmla="*/ 4662881 h 4662881"/>
            <a:gd name="connsiteX7" fmla="*/ 0 w 11520881"/>
            <a:gd name="connsiteY7" fmla="*/ 3885719 h 4662881"/>
            <a:gd name="connsiteX8" fmla="*/ 0 w 11520881"/>
            <a:gd name="connsiteY8" fmla="*/ 777162 h 4662881"/>
            <a:gd name="connsiteX0" fmla="*/ 158484 w 11679365"/>
            <a:gd name="connsiteY0" fmla="*/ 777162 h 4666623"/>
            <a:gd name="connsiteX1" fmla="*/ 935646 w 11679365"/>
            <a:gd name="connsiteY1" fmla="*/ 0 h 4666623"/>
            <a:gd name="connsiteX2" fmla="*/ 10902203 w 11679365"/>
            <a:gd name="connsiteY2" fmla="*/ 0 h 4666623"/>
            <a:gd name="connsiteX3" fmla="*/ 11679365 w 11679365"/>
            <a:gd name="connsiteY3" fmla="*/ 777162 h 4666623"/>
            <a:gd name="connsiteX4" fmla="*/ 11679365 w 11679365"/>
            <a:gd name="connsiteY4" fmla="*/ 3885719 h 4666623"/>
            <a:gd name="connsiteX5" fmla="*/ 10902203 w 11679365"/>
            <a:gd name="connsiteY5" fmla="*/ 4662881 h 4666623"/>
            <a:gd name="connsiteX6" fmla="*/ 935646 w 11679365"/>
            <a:gd name="connsiteY6" fmla="*/ 4662881 h 4666623"/>
            <a:gd name="connsiteX7" fmla="*/ 326265 w 11679365"/>
            <a:gd name="connsiteY7" fmla="*/ 4601361 h 4666623"/>
            <a:gd name="connsiteX8" fmla="*/ 158484 w 11679365"/>
            <a:gd name="connsiteY8" fmla="*/ 3885719 h 4666623"/>
            <a:gd name="connsiteX9" fmla="*/ 158484 w 11679365"/>
            <a:gd name="connsiteY9" fmla="*/ 777162 h 4666623"/>
            <a:gd name="connsiteX0" fmla="*/ 158484 w 11679365"/>
            <a:gd name="connsiteY0" fmla="*/ 777162 h 4666623"/>
            <a:gd name="connsiteX1" fmla="*/ 326265 w 11679365"/>
            <a:gd name="connsiteY1" fmla="*/ 78297 h 4666623"/>
            <a:gd name="connsiteX2" fmla="*/ 935646 w 11679365"/>
            <a:gd name="connsiteY2" fmla="*/ 0 h 4666623"/>
            <a:gd name="connsiteX3" fmla="*/ 10902203 w 11679365"/>
            <a:gd name="connsiteY3" fmla="*/ 0 h 4666623"/>
            <a:gd name="connsiteX4" fmla="*/ 11679365 w 11679365"/>
            <a:gd name="connsiteY4" fmla="*/ 777162 h 4666623"/>
            <a:gd name="connsiteX5" fmla="*/ 11679365 w 11679365"/>
            <a:gd name="connsiteY5" fmla="*/ 3885719 h 4666623"/>
            <a:gd name="connsiteX6" fmla="*/ 10902203 w 11679365"/>
            <a:gd name="connsiteY6" fmla="*/ 4662881 h 4666623"/>
            <a:gd name="connsiteX7" fmla="*/ 935646 w 11679365"/>
            <a:gd name="connsiteY7" fmla="*/ 4662881 h 4666623"/>
            <a:gd name="connsiteX8" fmla="*/ 326265 w 11679365"/>
            <a:gd name="connsiteY8" fmla="*/ 4601361 h 4666623"/>
            <a:gd name="connsiteX9" fmla="*/ 158484 w 11679365"/>
            <a:gd name="connsiteY9" fmla="*/ 3885719 h 4666623"/>
            <a:gd name="connsiteX10" fmla="*/ 158484 w 11679365"/>
            <a:gd name="connsiteY10" fmla="*/ 777162 h 4666623"/>
            <a:gd name="connsiteX0" fmla="*/ 229159 w 11750040"/>
            <a:gd name="connsiteY0" fmla="*/ 777162 h 4662881"/>
            <a:gd name="connsiteX1" fmla="*/ 396940 w 11750040"/>
            <a:gd name="connsiteY1" fmla="*/ 78297 h 4662881"/>
            <a:gd name="connsiteX2" fmla="*/ 1006321 w 11750040"/>
            <a:gd name="connsiteY2" fmla="*/ 0 h 4662881"/>
            <a:gd name="connsiteX3" fmla="*/ 10972878 w 11750040"/>
            <a:gd name="connsiteY3" fmla="*/ 0 h 4662881"/>
            <a:gd name="connsiteX4" fmla="*/ 11750040 w 11750040"/>
            <a:gd name="connsiteY4" fmla="*/ 777162 h 4662881"/>
            <a:gd name="connsiteX5" fmla="*/ 11750040 w 11750040"/>
            <a:gd name="connsiteY5" fmla="*/ 3885719 h 4662881"/>
            <a:gd name="connsiteX6" fmla="*/ 10972878 w 11750040"/>
            <a:gd name="connsiteY6" fmla="*/ 4662881 h 4662881"/>
            <a:gd name="connsiteX7" fmla="*/ 1006321 w 11750040"/>
            <a:gd name="connsiteY7" fmla="*/ 4662881 h 4662881"/>
            <a:gd name="connsiteX8" fmla="*/ 222169 w 11750040"/>
            <a:gd name="connsiteY8" fmla="*/ 4579994 h 4662881"/>
            <a:gd name="connsiteX9" fmla="*/ 229159 w 11750040"/>
            <a:gd name="connsiteY9" fmla="*/ 3885719 h 4662881"/>
            <a:gd name="connsiteX10" fmla="*/ 229159 w 11750040"/>
            <a:gd name="connsiteY10" fmla="*/ 777162 h 4662881"/>
            <a:gd name="connsiteX0" fmla="*/ 157494 w 11678375"/>
            <a:gd name="connsiteY0" fmla="*/ 777162 h 4670003"/>
            <a:gd name="connsiteX1" fmla="*/ 325275 w 11678375"/>
            <a:gd name="connsiteY1" fmla="*/ 78297 h 4670003"/>
            <a:gd name="connsiteX2" fmla="*/ 934656 w 11678375"/>
            <a:gd name="connsiteY2" fmla="*/ 0 h 4670003"/>
            <a:gd name="connsiteX3" fmla="*/ 10901213 w 11678375"/>
            <a:gd name="connsiteY3" fmla="*/ 0 h 4670003"/>
            <a:gd name="connsiteX4" fmla="*/ 11678375 w 11678375"/>
            <a:gd name="connsiteY4" fmla="*/ 777162 h 4670003"/>
            <a:gd name="connsiteX5" fmla="*/ 11678375 w 11678375"/>
            <a:gd name="connsiteY5" fmla="*/ 3885719 h 4670003"/>
            <a:gd name="connsiteX6" fmla="*/ 10901213 w 11678375"/>
            <a:gd name="connsiteY6" fmla="*/ 4662881 h 4670003"/>
            <a:gd name="connsiteX7" fmla="*/ 1976289 w 11678375"/>
            <a:gd name="connsiteY7" fmla="*/ 4670003 h 4670003"/>
            <a:gd name="connsiteX8" fmla="*/ 150504 w 11678375"/>
            <a:gd name="connsiteY8" fmla="*/ 4579994 h 4670003"/>
            <a:gd name="connsiteX9" fmla="*/ 157494 w 11678375"/>
            <a:gd name="connsiteY9" fmla="*/ 3885719 h 4670003"/>
            <a:gd name="connsiteX10" fmla="*/ 157494 w 11678375"/>
            <a:gd name="connsiteY10" fmla="*/ 777162 h 4670003"/>
            <a:gd name="connsiteX0" fmla="*/ 157494 w 11678375"/>
            <a:gd name="connsiteY0" fmla="*/ 777162 h 4670003"/>
            <a:gd name="connsiteX1" fmla="*/ 325275 w 11678375"/>
            <a:gd name="connsiteY1" fmla="*/ 78297 h 4670003"/>
            <a:gd name="connsiteX2" fmla="*/ 934656 w 11678375"/>
            <a:gd name="connsiteY2" fmla="*/ 0 h 4670003"/>
            <a:gd name="connsiteX3" fmla="*/ 10901213 w 11678375"/>
            <a:gd name="connsiteY3" fmla="*/ 0 h 4670003"/>
            <a:gd name="connsiteX4" fmla="*/ 11678375 w 11678375"/>
            <a:gd name="connsiteY4" fmla="*/ 777162 h 4670003"/>
            <a:gd name="connsiteX5" fmla="*/ 11678375 w 11678375"/>
            <a:gd name="connsiteY5" fmla="*/ 3885719 h 4670003"/>
            <a:gd name="connsiteX6" fmla="*/ 10901213 w 11678375"/>
            <a:gd name="connsiteY6" fmla="*/ 4662881 h 4670003"/>
            <a:gd name="connsiteX7" fmla="*/ 2465647 w 11678375"/>
            <a:gd name="connsiteY7" fmla="*/ 4670003 h 4670003"/>
            <a:gd name="connsiteX8" fmla="*/ 150504 w 11678375"/>
            <a:gd name="connsiteY8" fmla="*/ 4579994 h 4670003"/>
            <a:gd name="connsiteX9" fmla="*/ 157494 w 11678375"/>
            <a:gd name="connsiteY9" fmla="*/ 3885719 h 4670003"/>
            <a:gd name="connsiteX10" fmla="*/ 157494 w 11678375"/>
            <a:gd name="connsiteY10" fmla="*/ 777162 h 4670003"/>
            <a:gd name="connsiteX0" fmla="*/ 157494 w 11678375"/>
            <a:gd name="connsiteY0" fmla="*/ 777162 h 4670003"/>
            <a:gd name="connsiteX1" fmla="*/ 325275 w 11678375"/>
            <a:gd name="connsiteY1" fmla="*/ 78297 h 4670003"/>
            <a:gd name="connsiteX2" fmla="*/ 934656 w 11678375"/>
            <a:gd name="connsiteY2" fmla="*/ 0 h 4670003"/>
            <a:gd name="connsiteX3" fmla="*/ 10901213 w 11678375"/>
            <a:gd name="connsiteY3" fmla="*/ 0 h 4670003"/>
            <a:gd name="connsiteX4" fmla="*/ 11678375 w 11678375"/>
            <a:gd name="connsiteY4" fmla="*/ 777162 h 4670003"/>
            <a:gd name="connsiteX5" fmla="*/ 11678375 w 11678375"/>
            <a:gd name="connsiteY5" fmla="*/ 3885719 h 4670003"/>
            <a:gd name="connsiteX6" fmla="*/ 10901213 w 11678375"/>
            <a:gd name="connsiteY6" fmla="*/ 4662881 h 4670003"/>
            <a:gd name="connsiteX7" fmla="*/ 2465647 w 11678375"/>
            <a:gd name="connsiteY7" fmla="*/ 4670003 h 4670003"/>
            <a:gd name="connsiteX8" fmla="*/ 262357 w 11678375"/>
            <a:gd name="connsiteY8" fmla="*/ 4601362 h 4670003"/>
            <a:gd name="connsiteX9" fmla="*/ 157494 w 11678375"/>
            <a:gd name="connsiteY9" fmla="*/ 3885719 h 4670003"/>
            <a:gd name="connsiteX10" fmla="*/ 157494 w 11678375"/>
            <a:gd name="connsiteY10" fmla="*/ 777162 h 4670003"/>
            <a:gd name="connsiteX0" fmla="*/ 157494 w 11678375"/>
            <a:gd name="connsiteY0" fmla="*/ 777162 h 4670003"/>
            <a:gd name="connsiteX1" fmla="*/ 325275 w 11678375"/>
            <a:gd name="connsiteY1" fmla="*/ 78297 h 4670003"/>
            <a:gd name="connsiteX2" fmla="*/ 934656 w 11678375"/>
            <a:gd name="connsiteY2" fmla="*/ 0 h 4670003"/>
            <a:gd name="connsiteX3" fmla="*/ 10901213 w 11678375"/>
            <a:gd name="connsiteY3" fmla="*/ 0 h 4670003"/>
            <a:gd name="connsiteX4" fmla="*/ 11678375 w 11678375"/>
            <a:gd name="connsiteY4" fmla="*/ 777162 h 4670003"/>
            <a:gd name="connsiteX5" fmla="*/ 11678375 w 11678375"/>
            <a:gd name="connsiteY5" fmla="*/ 3885719 h 4670003"/>
            <a:gd name="connsiteX6" fmla="*/ 10901213 w 11678375"/>
            <a:gd name="connsiteY6" fmla="*/ 4662881 h 4670003"/>
            <a:gd name="connsiteX7" fmla="*/ 2465647 w 11678375"/>
            <a:gd name="connsiteY7" fmla="*/ 4670003 h 4670003"/>
            <a:gd name="connsiteX8" fmla="*/ 276339 w 11678375"/>
            <a:gd name="connsiteY8" fmla="*/ 4665464 h 4670003"/>
            <a:gd name="connsiteX9" fmla="*/ 157494 w 11678375"/>
            <a:gd name="connsiteY9" fmla="*/ 3885719 h 4670003"/>
            <a:gd name="connsiteX10" fmla="*/ 157494 w 11678375"/>
            <a:gd name="connsiteY10" fmla="*/ 777162 h 4670003"/>
            <a:gd name="connsiteX0" fmla="*/ 0 w 11520881"/>
            <a:gd name="connsiteY0" fmla="*/ 806095 h 4698936"/>
            <a:gd name="connsiteX1" fmla="*/ 167781 w 11520881"/>
            <a:gd name="connsiteY1" fmla="*/ 107230 h 4698936"/>
            <a:gd name="connsiteX2" fmla="*/ 2078069 w 11520881"/>
            <a:gd name="connsiteY2" fmla="*/ 0 h 4698936"/>
            <a:gd name="connsiteX3" fmla="*/ 10743719 w 11520881"/>
            <a:gd name="connsiteY3" fmla="*/ 28933 h 4698936"/>
            <a:gd name="connsiteX4" fmla="*/ 11520881 w 11520881"/>
            <a:gd name="connsiteY4" fmla="*/ 806095 h 4698936"/>
            <a:gd name="connsiteX5" fmla="*/ 11520881 w 11520881"/>
            <a:gd name="connsiteY5" fmla="*/ 3914652 h 4698936"/>
            <a:gd name="connsiteX6" fmla="*/ 10743719 w 11520881"/>
            <a:gd name="connsiteY6" fmla="*/ 4691814 h 4698936"/>
            <a:gd name="connsiteX7" fmla="*/ 2308153 w 11520881"/>
            <a:gd name="connsiteY7" fmla="*/ 4698936 h 4698936"/>
            <a:gd name="connsiteX8" fmla="*/ 118845 w 11520881"/>
            <a:gd name="connsiteY8" fmla="*/ 4694397 h 4698936"/>
            <a:gd name="connsiteX9" fmla="*/ 0 w 11520881"/>
            <a:gd name="connsiteY9" fmla="*/ 3914652 h 4698936"/>
            <a:gd name="connsiteX10" fmla="*/ 0 w 11520881"/>
            <a:gd name="connsiteY10" fmla="*/ 806095 h 4698936"/>
            <a:gd name="connsiteX0" fmla="*/ 0 w 11520881"/>
            <a:gd name="connsiteY0" fmla="*/ 812484 h 4705325"/>
            <a:gd name="connsiteX1" fmla="*/ 128360 w 11520881"/>
            <a:gd name="connsiteY1" fmla="*/ 67326 h 4705325"/>
            <a:gd name="connsiteX2" fmla="*/ 2078069 w 11520881"/>
            <a:gd name="connsiteY2" fmla="*/ 6389 h 4705325"/>
            <a:gd name="connsiteX3" fmla="*/ 10743719 w 11520881"/>
            <a:gd name="connsiteY3" fmla="*/ 35322 h 4705325"/>
            <a:gd name="connsiteX4" fmla="*/ 11520881 w 11520881"/>
            <a:gd name="connsiteY4" fmla="*/ 812484 h 4705325"/>
            <a:gd name="connsiteX5" fmla="*/ 11520881 w 11520881"/>
            <a:gd name="connsiteY5" fmla="*/ 3921041 h 4705325"/>
            <a:gd name="connsiteX6" fmla="*/ 10743719 w 11520881"/>
            <a:gd name="connsiteY6" fmla="*/ 4698203 h 4705325"/>
            <a:gd name="connsiteX7" fmla="*/ 2308153 w 11520881"/>
            <a:gd name="connsiteY7" fmla="*/ 4705325 h 4705325"/>
            <a:gd name="connsiteX8" fmla="*/ 118845 w 11520881"/>
            <a:gd name="connsiteY8" fmla="*/ 4700786 h 4705325"/>
            <a:gd name="connsiteX9" fmla="*/ 0 w 11520881"/>
            <a:gd name="connsiteY9" fmla="*/ 3921041 h 4705325"/>
            <a:gd name="connsiteX10" fmla="*/ 0 w 11520881"/>
            <a:gd name="connsiteY10" fmla="*/ 812484 h 4705325"/>
            <a:gd name="connsiteX0" fmla="*/ 0 w 11520881"/>
            <a:gd name="connsiteY0" fmla="*/ 824258 h 4717099"/>
            <a:gd name="connsiteX1" fmla="*/ 128360 w 11520881"/>
            <a:gd name="connsiteY1" fmla="*/ 79100 h 4717099"/>
            <a:gd name="connsiteX2" fmla="*/ 2078069 w 11520881"/>
            <a:gd name="connsiteY2" fmla="*/ 18163 h 4717099"/>
            <a:gd name="connsiteX3" fmla="*/ 11062850 w 11520881"/>
            <a:gd name="connsiteY3" fmla="*/ 0 h 4717099"/>
            <a:gd name="connsiteX4" fmla="*/ 11520881 w 11520881"/>
            <a:gd name="connsiteY4" fmla="*/ 824258 h 4717099"/>
            <a:gd name="connsiteX5" fmla="*/ 11520881 w 11520881"/>
            <a:gd name="connsiteY5" fmla="*/ 3932815 h 4717099"/>
            <a:gd name="connsiteX6" fmla="*/ 10743719 w 11520881"/>
            <a:gd name="connsiteY6" fmla="*/ 4709977 h 4717099"/>
            <a:gd name="connsiteX7" fmla="*/ 2308153 w 11520881"/>
            <a:gd name="connsiteY7" fmla="*/ 4717099 h 4717099"/>
            <a:gd name="connsiteX8" fmla="*/ 118845 w 11520881"/>
            <a:gd name="connsiteY8" fmla="*/ 4712560 h 4717099"/>
            <a:gd name="connsiteX9" fmla="*/ 0 w 11520881"/>
            <a:gd name="connsiteY9" fmla="*/ 3932815 h 4717099"/>
            <a:gd name="connsiteX10" fmla="*/ 0 w 11520881"/>
            <a:gd name="connsiteY10" fmla="*/ 824258 h 4717099"/>
            <a:gd name="connsiteX0" fmla="*/ 0 w 11520881"/>
            <a:gd name="connsiteY0" fmla="*/ 824258 h 4728816"/>
            <a:gd name="connsiteX1" fmla="*/ 128360 w 11520881"/>
            <a:gd name="connsiteY1" fmla="*/ 79100 h 4728816"/>
            <a:gd name="connsiteX2" fmla="*/ 2078069 w 11520881"/>
            <a:gd name="connsiteY2" fmla="*/ 18163 h 4728816"/>
            <a:gd name="connsiteX3" fmla="*/ 11062850 w 11520881"/>
            <a:gd name="connsiteY3" fmla="*/ 0 h 4728816"/>
            <a:gd name="connsiteX4" fmla="*/ 11520881 w 11520881"/>
            <a:gd name="connsiteY4" fmla="*/ 824258 h 4728816"/>
            <a:gd name="connsiteX5" fmla="*/ 11520881 w 11520881"/>
            <a:gd name="connsiteY5" fmla="*/ 3932815 h 4728816"/>
            <a:gd name="connsiteX6" fmla="*/ 11014496 w 11520881"/>
            <a:gd name="connsiteY6" fmla="*/ 4728816 h 4728816"/>
            <a:gd name="connsiteX7" fmla="*/ 2308153 w 11520881"/>
            <a:gd name="connsiteY7" fmla="*/ 4717099 h 4728816"/>
            <a:gd name="connsiteX8" fmla="*/ 118845 w 11520881"/>
            <a:gd name="connsiteY8" fmla="*/ 4712560 h 4728816"/>
            <a:gd name="connsiteX9" fmla="*/ 0 w 11520881"/>
            <a:gd name="connsiteY9" fmla="*/ 3932815 h 4728816"/>
            <a:gd name="connsiteX10" fmla="*/ 0 w 11520881"/>
            <a:gd name="connsiteY10" fmla="*/ 824258 h 47288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1520881" h="4728816">
              <a:moveTo>
                <a:pt x="0" y="824258"/>
              </a:moveTo>
              <a:cubicBezTo>
                <a:pt x="39615" y="211825"/>
                <a:pt x="-1167" y="208627"/>
                <a:pt x="128360" y="79100"/>
              </a:cubicBezTo>
              <a:cubicBezTo>
                <a:pt x="257887" y="-50427"/>
                <a:pt x="327064" y="53350"/>
                <a:pt x="2078069" y="18163"/>
              </a:cubicBezTo>
              <a:lnTo>
                <a:pt x="11062850" y="0"/>
              </a:lnTo>
              <a:cubicBezTo>
                <a:pt x="11492065" y="0"/>
                <a:pt x="11520881" y="395043"/>
                <a:pt x="11520881" y="824258"/>
              </a:cubicBezTo>
              <a:lnTo>
                <a:pt x="11520881" y="3932815"/>
              </a:lnTo>
              <a:cubicBezTo>
                <a:pt x="11520881" y="4362030"/>
                <a:pt x="11443711" y="4728816"/>
                <a:pt x="11014496" y="4728816"/>
              </a:cubicBezTo>
              <a:lnTo>
                <a:pt x="2308153" y="4717099"/>
              </a:lnTo>
              <a:lnTo>
                <a:pt x="118845" y="4712560"/>
              </a:lnTo>
              <a:cubicBezTo>
                <a:pt x="-10682" y="4583033"/>
                <a:pt x="37284" y="4537558"/>
                <a:pt x="0" y="3932815"/>
              </a:cubicBezTo>
              <a:lnTo>
                <a:pt x="0" y="824258"/>
              </a:lnTo>
              <a:close/>
            </a:path>
          </a:pathLst>
        </a:cu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259976</xdr:colOff>
      <xdr:row>5</xdr:row>
      <xdr:rowOff>143435</xdr:rowOff>
    </xdr:from>
    <xdr:to>
      <xdr:col>2</xdr:col>
      <xdr:colOff>528918</xdr:colOff>
      <xdr:row>9</xdr:row>
      <xdr:rowOff>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59DD7A80-040F-4A9E-BD7A-9BCA20F7E27E}"/>
            </a:ext>
          </a:extLst>
        </xdr:cNvPr>
        <xdr:cNvSpPr/>
      </xdr:nvSpPr>
      <xdr:spPr>
        <a:xfrm>
          <a:off x="259976" y="1057835"/>
          <a:ext cx="1488142" cy="58808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6">
                  <a:lumMod val="60000"/>
                  <a:lumOff val="40000"/>
                </a:schemeClr>
              </a:solidFill>
            </a:rPr>
            <a:t>DASHBOARD</a:t>
          </a:r>
        </a:p>
      </xdr:txBody>
    </xdr:sp>
    <xdr:clientData/>
  </xdr:twoCellAnchor>
  <xdr:twoCellAnchor>
    <xdr:from>
      <xdr:col>0</xdr:col>
      <xdr:colOff>233081</xdr:colOff>
      <xdr:row>10</xdr:row>
      <xdr:rowOff>26895</xdr:rowOff>
    </xdr:from>
    <xdr:to>
      <xdr:col>2</xdr:col>
      <xdr:colOff>505690</xdr:colOff>
      <xdr:row>13</xdr:row>
      <xdr:rowOff>62753</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54AFDBF-44A3-4285-B2E9-70A108BC6C43}"/>
            </a:ext>
          </a:extLst>
        </xdr:cNvPr>
        <xdr:cNvSpPr/>
      </xdr:nvSpPr>
      <xdr:spPr>
        <a:xfrm>
          <a:off x="233081" y="1855695"/>
          <a:ext cx="1491809" cy="584498"/>
        </a:xfrm>
        <a:prstGeom prst="roundRect">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SUMMARY</a:t>
          </a:r>
        </a:p>
      </xdr:txBody>
    </xdr:sp>
    <xdr:clientData/>
  </xdr:twoCellAnchor>
  <xdr:twoCellAnchor>
    <xdr:from>
      <xdr:col>0</xdr:col>
      <xdr:colOff>233082</xdr:colOff>
      <xdr:row>14</xdr:row>
      <xdr:rowOff>134471</xdr:rowOff>
    </xdr:from>
    <xdr:to>
      <xdr:col>2</xdr:col>
      <xdr:colOff>502024</xdr:colOff>
      <xdr:row>17</xdr:row>
      <xdr:rowOff>170330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30113FFA-9CE9-4925-B0AA-5F40D34B59B2}"/>
            </a:ext>
          </a:extLst>
        </xdr:cNvPr>
        <xdr:cNvSpPr/>
      </xdr:nvSpPr>
      <xdr:spPr>
        <a:xfrm>
          <a:off x="233082" y="2694791"/>
          <a:ext cx="1488142" cy="584499"/>
        </a:xfrm>
        <a:prstGeom prst="roundRect">
          <a:avLst/>
        </a:pr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DATA</a:t>
          </a:r>
        </a:p>
      </xdr:txBody>
    </xdr:sp>
    <xdr:clientData/>
  </xdr:twoCellAnchor>
  <xdr:twoCellAnchor editAs="oneCell">
    <xdr:from>
      <xdr:col>3</xdr:col>
      <xdr:colOff>464046</xdr:colOff>
      <xdr:row>0</xdr:row>
      <xdr:rowOff>172782</xdr:rowOff>
    </xdr:from>
    <xdr:to>
      <xdr:col>12</xdr:col>
      <xdr:colOff>547254</xdr:colOff>
      <xdr:row>7</xdr:row>
      <xdr:rowOff>28018</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1A9DE2D0-19F6-436A-8338-B131FDC60DD0}"/>
                </a:ext>
              </a:extLst>
            </xdr:cNvPr>
            <xdr:cNvGraphicFramePr>
              <a:graphicFrameLocks/>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92846" y="172782"/>
              <a:ext cx="5569608" cy="1116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235527</xdr:colOff>
      <xdr:row>0</xdr:row>
      <xdr:rowOff>172782</xdr:rowOff>
    </xdr:from>
    <xdr:to>
      <xdr:col>20</xdr:col>
      <xdr:colOff>318654</xdr:colOff>
      <xdr:row>7</xdr:row>
      <xdr:rowOff>6927</xdr:rowOff>
    </xdr:to>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828F07D0-F062-4236-A6FD-093E9BBA485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160327" y="172782"/>
              <a:ext cx="4350327" cy="1094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471054</xdr:colOff>
      <xdr:row>7</xdr:row>
      <xdr:rowOff>96981</xdr:rowOff>
    </xdr:from>
    <xdr:to>
      <xdr:col>20</xdr:col>
      <xdr:colOff>284017</xdr:colOff>
      <xdr:row>11</xdr:row>
      <xdr:rowOff>110835</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89A5358F-C8CF-4911-995C-0AD61C88F64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299854" y="1357745"/>
              <a:ext cx="10176163" cy="734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13856</xdr:colOff>
      <xdr:row>11</xdr:row>
      <xdr:rowOff>173183</xdr:rowOff>
    </xdr:from>
    <xdr:to>
      <xdr:col>6</xdr:col>
      <xdr:colOff>594656</xdr:colOff>
      <xdr:row>16</xdr:row>
      <xdr:rowOff>61038</xdr:rowOff>
    </xdr:to>
    <xdr:grpSp>
      <xdr:nvGrpSpPr>
        <xdr:cNvPr id="10" name="Group 9">
          <a:extLst>
            <a:ext uri="{FF2B5EF4-FFF2-40B4-BE49-F238E27FC236}">
              <a16:creationId xmlns:a16="http://schemas.microsoft.com/office/drawing/2014/main" id="{AC62C7B2-7E06-41A0-8A34-77F7BA7F2A70}"/>
            </a:ext>
          </a:extLst>
        </xdr:cNvPr>
        <xdr:cNvGrpSpPr/>
      </xdr:nvGrpSpPr>
      <xdr:grpSpPr>
        <a:xfrm>
          <a:off x="2452256" y="2154383"/>
          <a:ext cx="1800000" cy="788400"/>
          <a:chOff x="2452256" y="2154383"/>
          <a:chExt cx="1898072" cy="803562"/>
        </a:xfrm>
      </xdr:grpSpPr>
      <xdr:grpSp>
        <xdr:nvGrpSpPr>
          <xdr:cNvPr id="11" name="Group 10">
            <a:extLst>
              <a:ext uri="{FF2B5EF4-FFF2-40B4-BE49-F238E27FC236}">
                <a16:creationId xmlns:a16="http://schemas.microsoft.com/office/drawing/2014/main" id="{4E436C5D-1B28-9091-14A6-3E8EFFCD9287}"/>
              </a:ext>
            </a:extLst>
          </xdr:cNvPr>
          <xdr:cNvGrpSpPr/>
        </xdr:nvGrpSpPr>
        <xdr:grpSpPr>
          <a:xfrm>
            <a:off x="2452256" y="2154383"/>
            <a:ext cx="1898072" cy="803562"/>
            <a:chOff x="2452255" y="2154383"/>
            <a:chExt cx="1607127" cy="651164"/>
          </a:xfrm>
        </xdr:grpSpPr>
        <xdr:grpSp>
          <xdr:nvGrpSpPr>
            <xdr:cNvPr id="13" name="Group 12">
              <a:extLst>
                <a:ext uri="{FF2B5EF4-FFF2-40B4-BE49-F238E27FC236}">
                  <a16:creationId xmlns:a16="http://schemas.microsoft.com/office/drawing/2014/main" id="{527550AA-E403-BD4D-42FA-50EABC3A08DA}"/>
                </a:ext>
              </a:extLst>
            </xdr:cNvPr>
            <xdr:cNvGrpSpPr/>
          </xdr:nvGrpSpPr>
          <xdr:grpSpPr>
            <a:xfrm>
              <a:off x="2452255" y="2154383"/>
              <a:ext cx="1607127" cy="651164"/>
              <a:chOff x="2701636" y="2237509"/>
              <a:chExt cx="1357746" cy="568037"/>
            </a:xfrm>
          </xdr:grpSpPr>
          <xdr:sp macro="" textlink="">
            <xdr:nvSpPr>
              <xdr:cNvPr id="16" name="Rectangle: Rounded Corners 15">
                <a:extLst>
                  <a:ext uri="{FF2B5EF4-FFF2-40B4-BE49-F238E27FC236}">
                    <a16:creationId xmlns:a16="http://schemas.microsoft.com/office/drawing/2014/main" id="{4E160932-DFD0-C852-6F50-63779FCB0CE7}"/>
                  </a:ext>
                </a:extLst>
              </xdr:cNvPr>
              <xdr:cNvSpPr/>
            </xdr:nvSpPr>
            <xdr:spPr>
              <a:xfrm>
                <a:off x="2701636" y="2237509"/>
                <a:ext cx="1233055" cy="56110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E9A2481A-1D0D-118C-496C-8B939446864A}"/>
                  </a:ext>
                </a:extLst>
              </xdr:cNvPr>
              <xdr:cNvSpPr/>
            </xdr:nvSpPr>
            <xdr:spPr>
              <a:xfrm>
                <a:off x="2826327" y="2244437"/>
                <a:ext cx="1233055" cy="5611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4" name="TextBox 13">
              <a:extLst>
                <a:ext uri="{FF2B5EF4-FFF2-40B4-BE49-F238E27FC236}">
                  <a16:creationId xmlns:a16="http://schemas.microsoft.com/office/drawing/2014/main" id="{13F91CDC-143A-660D-91E3-B3000F880325}"/>
                </a:ext>
              </a:extLst>
            </xdr:cNvPr>
            <xdr:cNvSpPr txBox="1"/>
          </xdr:nvSpPr>
          <xdr:spPr>
            <a:xfrm>
              <a:off x="2791692" y="2189017"/>
              <a:ext cx="1246909" cy="2067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200" b="1"/>
                <a:t> </a:t>
              </a:r>
              <a:r>
                <a:rPr lang="en-IN" sz="1400" b="1"/>
                <a:t>REVENUE</a:t>
              </a:r>
              <a:endParaRPr lang="en-IN" sz="1200" b="1"/>
            </a:p>
          </xdr:txBody>
        </xdr:sp>
        <xdr:sp macro="" textlink="#REF!">
          <xdr:nvSpPr>
            <xdr:cNvPr id="15" name="TextBox 14">
              <a:extLst>
                <a:ext uri="{FF2B5EF4-FFF2-40B4-BE49-F238E27FC236}">
                  <a16:creationId xmlns:a16="http://schemas.microsoft.com/office/drawing/2014/main" id="{4A4B85B2-6735-16D3-521E-BD17D0758DBF}"/>
                </a:ext>
              </a:extLst>
            </xdr:cNvPr>
            <xdr:cNvSpPr txBox="1"/>
          </xdr:nvSpPr>
          <xdr:spPr>
            <a:xfrm>
              <a:off x="2686114" y="2413556"/>
              <a:ext cx="1209034" cy="2067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8D5B2D-03FD-4A18-97B5-9F158FA422BB}" type="TxLink">
                <a:rPr lang="en-US" sz="1600" b="1" i="0" u="none" strike="noStrike">
                  <a:solidFill>
                    <a:srgbClr val="FFC000"/>
                  </a:solidFill>
                  <a:latin typeface="Aptos Narrow"/>
                </a:rPr>
                <a:pPr algn="ctr"/>
                <a:t>₹ 4,49,000</a:t>
              </a:fld>
              <a:endParaRPr lang="en-IN" sz="1600" b="1">
                <a:solidFill>
                  <a:srgbClr val="FFC000"/>
                </a:solidFill>
              </a:endParaRPr>
            </a:p>
          </xdr:txBody>
        </xdr:sp>
      </xdr:grpSp>
      <xdr:pic>
        <xdr:nvPicPr>
          <xdr:cNvPr id="12" name="Graphic 11" descr="Bar graph with upward trend with solid fill">
            <a:extLst>
              <a:ext uri="{FF2B5EF4-FFF2-40B4-BE49-F238E27FC236}">
                <a16:creationId xmlns:a16="http://schemas.microsoft.com/office/drawing/2014/main" id="{C3BC543E-348E-722E-2FEE-4E60716288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70019" y="2334490"/>
            <a:ext cx="429491" cy="429491"/>
          </a:xfrm>
          <a:prstGeom prst="rect">
            <a:avLst/>
          </a:prstGeom>
        </xdr:spPr>
      </xdr:pic>
    </xdr:grpSp>
    <xdr:clientData/>
  </xdr:twoCellAnchor>
  <xdr:twoCellAnchor>
    <xdr:from>
      <xdr:col>7</xdr:col>
      <xdr:colOff>318654</xdr:colOff>
      <xdr:row>11</xdr:row>
      <xdr:rowOff>173183</xdr:rowOff>
    </xdr:from>
    <xdr:to>
      <xdr:col>10</xdr:col>
      <xdr:colOff>290945</xdr:colOff>
      <xdr:row>16</xdr:row>
      <xdr:rowOff>62348</xdr:rowOff>
    </xdr:to>
    <xdr:grpSp>
      <xdr:nvGrpSpPr>
        <xdr:cNvPr id="18" name="Group 17">
          <a:extLst>
            <a:ext uri="{FF2B5EF4-FFF2-40B4-BE49-F238E27FC236}">
              <a16:creationId xmlns:a16="http://schemas.microsoft.com/office/drawing/2014/main" id="{07B1AC42-EBD1-4774-9A75-0178B7F4EEDB}"/>
            </a:ext>
          </a:extLst>
        </xdr:cNvPr>
        <xdr:cNvGrpSpPr/>
      </xdr:nvGrpSpPr>
      <xdr:grpSpPr>
        <a:xfrm>
          <a:off x="4585854" y="2154383"/>
          <a:ext cx="1801091" cy="789710"/>
          <a:chOff x="4565072" y="2140526"/>
          <a:chExt cx="1704110" cy="845129"/>
        </a:xfrm>
      </xdr:grpSpPr>
      <xdr:grpSp>
        <xdr:nvGrpSpPr>
          <xdr:cNvPr id="19" name="Group 18">
            <a:extLst>
              <a:ext uri="{FF2B5EF4-FFF2-40B4-BE49-F238E27FC236}">
                <a16:creationId xmlns:a16="http://schemas.microsoft.com/office/drawing/2014/main" id="{DBAA7ABF-DC06-D6B4-7A5A-95F04691399E}"/>
              </a:ext>
            </a:extLst>
          </xdr:cNvPr>
          <xdr:cNvGrpSpPr/>
        </xdr:nvGrpSpPr>
        <xdr:grpSpPr>
          <a:xfrm>
            <a:off x="4565072" y="2140526"/>
            <a:ext cx="1704110" cy="845129"/>
            <a:chOff x="2701636" y="2237509"/>
            <a:chExt cx="1357746" cy="568037"/>
          </a:xfrm>
        </xdr:grpSpPr>
        <xdr:sp macro="" textlink="">
          <xdr:nvSpPr>
            <xdr:cNvPr id="23" name="Rectangle: Rounded Corners 22">
              <a:extLst>
                <a:ext uri="{FF2B5EF4-FFF2-40B4-BE49-F238E27FC236}">
                  <a16:creationId xmlns:a16="http://schemas.microsoft.com/office/drawing/2014/main" id="{B5D3A151-77D3-F2AF-397B-D83A8C713957}"/>
                </a:ext>
              </a:extLst>
            </xdr:cNvPr>
            <xdr:cNvSpPr/>
          </xdr:nvSpPr>
          <xdr:spPr>
            <a:xfrm>
              <a:off x="2701636" y="2237509"/>
              <a:ext cx="1233055" cy="561109"/>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804E46BE-FB64-5C05-CBDD-68B031D61587}"/>
                </a:ext>
              </a:extLst>
            </xdr:cNvPr>
            <xdr:cNvSpPr/>
          </xdr:nvSpPr>
          <xdr:spPr>
            <a:xfrm>
              <a:off x="2826327" y="2244437"/>
              <a:ext cx="1233055" cy="5611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0" name="TextBox 19">
            <a:extLst>
              <a:ext uri="{FF2B5EF4-FFF2-40B4-BE49-F238E27FC236}">
                <a16:creationId xmlns:a16="http://schemas.microsoft.com/office/drawing/2014/main" id="{A4D7413F-BD95-1852-76FF-477EF3AF547C}"/>
              </a:ext>
            </a:extLst>
          </xdr:cNvPr>
          <xdr:cNvSpPr txBox="1"/>
        </xdr:nvSpPr>
        <xdr:spPr>
          <a:xfrm>
            <a:off x="4765557" y="2178596"/>
            <a:ext cx="1453505" cy="5368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100" b="1"/>
              <a:t> </a:t>
            </a:r>
            <a:r>
              <a:rPr lang="en-IN" sz="1200" b="1"/>
              <a:t>QUANTITY</a:t>
            </a:r>
            <a:r>
              <a:rPr lang="en-IN" sz="1200" b="1" baseline="0"/>
              <a:t> SOLD</a:t>
            </a:r>
            <a:endParaRPr lang="en-IN" sz="1100" b="1"/>
          </a:p>
        </xdr:txBody>
      </xdr:sp>
      <xdr:sp macro="" textlink="#REF!">
        <xdr:nvSpPr>
          <xdr:cNvPr id="21" name="TextBox 20">
            <a:extLst>
              <a:ext uri="{FF2B5EF4-FFF2-40B4-BE49-F238E27FC236}">
                <a16:creationId xmlns:a16="http://schemas.microsoft.com/office/drawing/2014/main" id="{AC35B446-3BBA-81C9-7842-EA61F9999595}"/>
              </a:ext>
            </a:extLst>
          </xdr:cNvPr>
          <xdr:cNvSpPr txBox="1"/>
        </xdr:nvSpPr>
        <xdr:spPr>
          <a:xfrm>
            <a:off x="4962911" y="2584267"/>
            <a:ext cx="1073728" cy="2355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84CF5-8C50-4191-9487-A6EB1AFCA973}" type="TxLink">
              <a:rPr lang="en-US" sz="1600" b="1" i="0" u="none" strike="noStrike">
                <a:solidFill>
                  <a:schemeClr val="accent6">
                    <a:lumMod val="75000"/>
                  </a:schemeClr>
                </a:solidFill>
                <a:latin typeface="Aptos Narrow"/>
              </a:rPr>
              <a:pPr algn="ctr"/>
              <a:t>26</a:t>
            </a:fld>
            <a:endParaRPr lang="en-IN" sz="1600" b="1">
              <a:solidFill>
                <a:schemeClr val="accent6">
                  <a:lumMod val="75000"/>
                </a:schemeClr>
              </a:solidFill>
            </a:endParaRPr>
          </a:p>
        </xdr:txBody>
      </xdr:sp>
      <xdr:pic>
        <xdr:nvPicPr>
          <xdr:cNvPr id="22" name="Graphic 21" descr="Business Growth with solid fill">
            <a:extLst>
              <a:ext uri="{FF2B5EF4-FFF2-40B4-BE49-F238E27FC236}">
                <a16:creationId xmlns:a16="http://schemas.microsoft.com/office/drawing/2014/main" id="{2373469D-07ED-B8F0-CA95-046BF084B0E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15015" y="2388553"/>
            <a:ext cx="498371" cy="569542"/>
          </a:xfrm>
          <a:prstGeom prst="rect">
            <a:avLst/>
          </a:prstGeom>
        </xdr:spPr>
      </xdr:pic>
    </xdr:grpSp>
    <xdr:clientData/>
  </xdr:twoCellAnchor>
  <xdr:twoCellAnchor>
    <xdr:from>
      <xdr:col>3</xdr:col>
      <xdr:colOff>595745</xdr:colOff>
      <xdr:row>16</xdr:row>
      <xdr:rowOff>173182</xdr:rowOff>
    </xdr:from>
    <xdr:to>
      <xdr:col>10</xdr:col>
      <xdr:colOff>297873</xdr:colOff>
      <xdr:row>24</xdr:row>
      <xdr:rowOff>152400</xdr:rowOff>
    </xdr:to>
    <xdr:sp macro="" textlink="">
      <xdr:nvSpPr>
        <xdr:cNvPr id="25" name="Rectangle 24">
          <a:extLst>
            <a:ext uri="{FF2B5EF4-FFF2-40B4-BE49-F238E27FC236}">
              <a16:creationId xmlns:a16="http://schemas.microsoft.com/office/drawing/2014/main" id="{11A74F8A-0582-4D14-9F77-47E4F328D6E3}"/>
            </a:ext>
          </a:extLst>
        </xdr:cNvPr>
        <xdr:cNvSpPr/>
      </xdr:nvSpPr>
      <xdr:spPr>
        <a:xfrm>
          <a:off x="2424545" y="3099262"/>
          <a:ext cx="3969328" cy="144225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588819</xdr:colOff>
      <xdr:row>16</xdr:row>
      <xdr:rowOff>159327</xdr:rowOff>
    </xdr:from>
    <xdr:to>
      <xdr:col>10</xdr:col>
      <xdr:colOff>394855</xdr:colOff>
      <xdr:row>28</xdr:row>
      <xdr:rowOff>90054</xdr:rowOff>
    </xdr:to>
    <xdr:graphicFrame macro="">
      <xdr:nvGraphicFramePr>
        <xdr:cNvPr id="26" name="Chart 25">
          <a:extLst>
            <a:ext uri="{FF2B5EF4-FFF2-40B4-BE49-F238E27FC236}">
              <a16:creationId xmlns:a16="http://schemas.microsoft.com/office/drawing/2014/main" id="{6682E782-3009-4CC8-BC6E-017F987F5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484909</xdr:colOff>
      <xdr:row>11</xdr:row>
      <xdr:rowOff>145471</xdr:rowOff>
    </xdr:from>
    <xdr:to>
      <xdr:col>15</xdr:col>
      <xdr:colOff>374073</xdr:colOff>
      <xdr:row>20</xdr:row>
      <xdr:rowOff>0</xdr:rowOff>
    </xdr:to>
    <xdr:graphicFrame macro="">
      <xdr:nvGraphicFramePr>
        <xdr:cNvPr id="27" name="Chart 26">
          <a:extLst>
            <a:ext uri="{FF2B5EF4-FFF2-40B4-BE49-F238E27FC236}">
              <a16:creationId xmlns:a16="http://schemas.microsoft.com/office/drawing/2014/main" id="{28E53688-967E-4DF3-AF20-A8F1436DC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505690</xdr:colOff>
      <xdr:row>11</xdr:row>
      <xdr:rowOff>145471</xdr:rowOff>
    </xdr:from>
    <xdr:to>
      <xdr:col>20</xdr:col>
      <xdr:colOff>270163</xdr:colOff>
      <xdr:row>20</xdr:row>
      <xdr:rowOff>0</xdr:rowOff>
    </xdr:to>
    <xdr:graphicFrame macro="">
      <xdr:nvGraphicFramePr>
        <xdr:cNvPr id="28" name="Chart 27">
          <a:extLst>
            <a:ext uri="{FF2B5EF4-FFF2-40B4-BE49-F238E27FC236}">
              <a16:creationId xmlns:a16="http://schemas.microsoft.com/office/drawing/2014/main" id="{7FBE9C16-6D90-4FFF-891D-D7E85BD41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477901</xdr:colOff>
      <xdr:row>20</xdr:row>
      <xdr:rowOff>62344</xdr:rowOff>
    </xdr:from>
    <xdr:to>
      <xdr:col>15</xdr:col>
      <xdr:colOff>367144</xdr:colOff>
      <xdr:row>28</xdr:row>
      <xdr:rowOff>138544</xdr:rowOff>
    </xdr:to>
    <xdr:graphicFrame macro="">
      <xdr:nvGraphicFramePr>
        <xdr:cNvPr id="29" name="Chart 28">
          <a:extLst>
            <a:ext uri="{FF2B5EF4-FFF2-40B4-BE49-F238E27FC236}">
              <a16:creationId xmlns:a16="http://schemas.microsoft.com/office/drawing/2014/main" id="{4399CFA5-B452-471E-A78D-F0017E581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491836</xdr:colOff>
      <xdr:row>20</xdr:row>
      <xdr:rowOff>69272</xdr:rowOff>
    </xdr:from>
    <xdr:to>
      <xdr:col>20</xdr:col>
      <xdr:colOff>263236</xdr:colOff>
      <xdr:row>28</xdr:row>
      <xdr:rowOff>152398</xdr:rowOff>
    </xdr:to>
    <xdr:graphicFrame macro="">
      <xdr:nvGraphicFramePr>
        <xdr:cNvPr id="30" name="Chart 29">
          <a:extLst>
            <a:ext uri="{FF2B5EF4-FFF2-40B4-BE49-F238E27FC236}">
              <a16:creationId xmlns:a16="http://schemas.microsoft.com/office/drawing/2014/main" id="{3E6564C3-8680-4DE6-8A4D-20C6985FD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95def66965cfcea2/&#12489;&#12461;&#12517;&#12513;&#12531;&#12488;/gptclas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n" refreshedDate="46297.515883449072" createdVersion="8" refreshedVersion="8" minRefreshableVersion="3" recordCount="12" xr:uid="{ABF01B4F-4D94-4D80-91BA-989A7C8C617A}">
  <cacheSource type="worksheet">
    <worksheetSource name="Table3" r:id="rId2"/>
  </cacheSource>
  <cacheFields count="6">
    <cacheField name="Date" numFmtId="14">
      <sharedItems containsSemiMixedTypes="0" containsNonDate="0" containsDate="1" containsString="0" minDate="2026-09-01T00:00:00" maxDate="2026-09-13T00:00:00" count="12">
        <d v="2026-09-01T00:00:00"/>
        <d v="2026-09-02T00:00:00"/>
        <d v="2026-09-03T00:00:00"/>
        <d v="2026-09-04T00:00:00"/>
        <d v="2026-09-05T00:00:00"/>
        <d v="2026-09-06T00:00:00"/>
        <d v="2026-09-07T00:00:00"/>
        <d v="2026-09-08T00:00:00"/>
        <d v="2026-09-09T00:00:00"/>
        <d v="2026-09-10T00:00:00"/>
        <d v="2026-09-11T00:00:00"/>
        <d v="2026-09-12T00:00:00"/>
      </sharedItems>
    </cacheField>
    <cacheField name="Product" numFmtId="0">
      <sharedItems count="4">
        <s v="Laptop"/>
        <s v="Phone"/>
        <s v="Tablet"/>
        <s v="Headphones"/>
      </sharedItems>
    </cacheField>
    <cacheField name="Category" numFmtId="0">
      <sharedItems count="2">
        <s v="Electronics"/>
        <s v="Accessories"/>
      </sharedItems>
    </cacheField>
    <cacheField name="City" numFmtId="0">
      <sharedItems count="3">
        <s v="Kochi"/>
        <s v="Calicut"/>
        <s v="Kannur"/>
      </sharedItems>
    </cacheField>
    <cacheField name="Sales" numFmtId="0">
      <sharedItems containsSemiMixedTypes="0" containsString="0" containsNumber="1" containsInteger="1" minValue="5000" maxValue="70000"/>
    </cacheField>
    <cacheField name="Quantity" numFmtId="0">
      <sharedItems containsSemiMixedTypes="0" containsString="0" containsNumber="1" containsInteger="1" minValue="1" maxValue="6"/>
    </cacheField>
  </cacheFields>
  <extLst>
    <ext xmlns:x14="http://schemas.microsoft.com/office/spreadsheetml/2009/9/main" uri="{725AE2AE-9491-48be-B2B4-4EB974FC3084}">
      <x14:pivotCacheDefinition pivotCacheId="1706852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n v="60000"/>
    <n v="2"/>
  </r>
  <r>
    <x v="1"/>
    <x v="1"/>
    <x v="0"/>
    <x v="1"/>
    <n v="25000"/>
    <n v="1"/>
  </r>
  <r>
    <x v="2"/>
    <x v="0"/>
    <x v="0"/>
    <x v="0"/>
    <n v="70000"/>
    <n v="2"/>
  </r>
  <r>
    <x v="3"/>
    <x v="2"/>
    <x v="0"/>
    <x v="2"/>
    <n v="30000"/>
    <n v="2"/>
  </r>
  <r>
    <x v="4"/>
    <x v="1"/>
    <x v="0"/>
    <x v="0"/>
    <n v="40000"/>
    <n v="2"/>
  </r>
  <r>
    <x v="5"/>
    <x v="3"/>
    <x v="1"/>
    <x v="1"/>
    <n v="5000"/>
    <n v="5"/>
  </r>
  <r>
    <x v="6"/>
    <x v="0"/>
    <x v="0"/>
    <x v="2"/>
    <n v="55000"/>
    <n v="1"/>
  </r>
  <r>
    <x v="7"/>
    <x v="1"/>
    <x v="0"/>
    <x v="0"/>
    <n v="30000"/>
    <n v="1"/>
  </r>
  <r>
    <x v="8"/>
    <x v="3"/>
    <x v="1"/>
    <x v="0"/>
    <n v="6000"/>
    <n v="6"/>
  </r>
  <r>
    <x v="9"/>
    <x v="2"/>
    <x v="0"/>
    <x v="1"/>
    <n v="28000"/>
    <n v="2"/>
  </r>
  <r>
    <x v="10"/>
    <x v="0"/>
    <x v="0"/>
    <x v="0"/>
    <n v="65000"/>
    <n v="1"/>
  </r>
  <r>
    <x v="11"/>
    <x v="1"/>
    <x v="0"/>
    <x v="2"/>
    <n v="350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E6493A-DC77-42EC-92E2-C3F56C3D084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6:B41" firstHeaderRow="1" firstDataRow="1" firstDataCol="1"/>
  <pivotFields count="6">
    <pivotField numFmtId="14" showAll="0">
      <items count="13">
        <item x="0"/>
        <item x="1"/>
        <item x="2"/>
        <item x="3"/>
        <item x="4"/>
        <item x="5"/>
        <item x="6"/>
        <item x="7"/>
        <item x="8"/>
        <item x="9"/>
        <item x="10"/>
        <item x="11"/>
        <item t="default"/>
      </items>
    </pivotField>
    <pivotField axis="axisRow" showAll="0">
      <items count="5">
        <item x="3"/>
        <item x="0"/>
        <item x="1"/>
        <item x="2"/>
        <item t="default"/>
      </items>
    </pivotField>
    <pivotField showAll="0"/>
    <pivotField showAll="0">
      <items count="4">
        <item x="1"/>
        <item x="2"/>
        <item x="0"/>
        <item t="default"/>
      </items>
    </pivotField>
    <pivotField showAll="0"/>
    <pivotField dataField="1" showAll="0"/>
  </pivotFields>
  <rowFields count="1">
    <field x="1"/>
  </rowFields>
  <rowItems count="5">
    <i>
      <x/>
    </i>
    <i>
      <x v="1"/>
    </i>
    <i>
      <x v="2"/>
    </i>
    <i>
      <x v="3"/>
    </i>
    <i t="grand">
      <x/>
    </i>
  </rowItems>
  <colItems count="1">
    <i/>
  </colItems>
  <dataFields count="1">
    <dataField name="Sum of Quantity" fld="5" baseField="0" baseItem="0"/>
  </dataFields>
  <formats count="1">
    <format dxfId="0">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56EC0C-6CB0-454C-B4FD-F9AD053D68E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5:B20" firstHeaderRow="1" firstDataRow="1" firstDataCol="1"/>
  <pivotFields count="6">
    <pivotField numFmtId="14" showAll="0">
      <items count="13">
        <item x="0"/>
        <item x="1"/>
        <item x="2"/>
        <item x="3"/>
        <item x="4"/>
        <item x="5"/>
        <item x="6"/>
        <item x="7"/>
        <item x="8"/>
        <item x="9"/>
        <item x="10"/>
        <item x="11"/>
        <item t="default"/>
      </items>
    </pivotField>
    <pivotField axis="axisRow" showAll="0">
      <items count="5">
        <item x="3"/>
        <item x="0"/>
        <item x="1"/>
        <item x="2"/>
        <item t="default"/>
      </items>
    </pivotField>
    <pivotField showAll="0"/>
    <pivotField showAll="0">
      <items count="4">
        <item x="1"/>
        <item x="2"/>
        <item x="0"/>
        <item t="default"/>
      </items>
    </pivotField>
    <pivotField dataField="1" showAll="0"/>
    <pivotField showAll="0"/>
  </pivotFields>
  <rowFields count="1">
    <field x="1"/>
  </rowFields>
  <rowItems count="5">
    <i>
      <x/>
    </i>
    <i>
      <x v="1"/>
    </i>
    <i>
      <x v="2"/>
    </i>
    <i>
      <x v="3"/>
    </i>
    <i t="grand">
      <x/>
    </i>
  </rowItems>
  <colItems count="1">
    <i/>
  </colItems>
  <dataFields count="1">
    <dataField name="Sum of Sales" fld="4" baseField="0" baseItem="0" numFmtId="164"/>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CB10A6-C52F-4C9D-B5FB-A79F27E341A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K3:L16" firstHeaderRow="1" firstDataRow="1" firstDataCol="1"/>
  <pivotFields count="6">
    <pivotField axis="axisRow" numFmtId="14" showAll="0">
      <items count="13">
        <item x="0"/>
        <item x="1"/>
        <item x="2"/>
        <item x="3"/>
        <item x="4"/>
        <item x="5"/>
        <item x="6"/>
        <item x="7"/>
        <item x="8"/>
        <item x="9"/>
        <item x="10"/>
        <item x="11"/>
        <item t="default"/>
      </items>
    </pivotField>
    <pivotField showAll="0">
      <items count="5">
        <item x="3"/>
        <item x="0"/>
        <item x="1"/>
        <item x="2"/>
        <item t="default"/>
      </items>
    </pivotField>
    <pivotField showAll="0"/>
    <pivotField showAll="0">
      <items count="4">
        <item x="1"/>
        <item x="2"/>
        <item x="0"/>
        <item t="default"/>
      </items>
    </pivotField>
    <pivotField dataField="1"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Sales" fld="4" baseField="0" baseItem="0" numFmtId="164"/>
  </dataFields>
  <formats count="2">
    <format dxfId="3">
      <pivotArea outline="0" collapsedLevelsAreSubtotals="1" fieldPosition="0"/>
    </format>
    <format dxfId="2">
      <pivotArea dataOnly="0" labelOnly="1" fieldPosition="0">
        <references count="1">
          <reference field="0" count="0"/>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F8EF47-39E1-4EED-98C7-FDB929C4AFC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18:L21" firstHeaderRow="1" firstDataRow="1" firstDataCol="1"/>
  <pivotFields count="6">
    <pivotField numFmtId="14" showAll="0">
      <items count="13">
        <item x="0"/>
        <item x="1"/>
        <item x="2"/>
        <item x="3"/>
        <item x="4"/>
        <item x="5"/>
        <item x="6"/>
        <item x="7"/>
        <item x="8"/>
        <item x="9"/>
        <item x="10"/>
        <item x="11"/>
        <item t="default"/>
      </items>
    </pivotField>
    <pivotField showAll="0">
      <items count="5">
        <item x="3"/>
        <item x="0"/>
        <item x="1"/>
        <item x="2"/>
        <item t="default"/>
      </items>
    </pivotField>
    <pivotField axis="axisRow" showAll="0">
      <items count="3">
        <item x="1"/>
        <item x="0"/>
        <item t="default"/>
      </items>
    </pivotField>
    <pivotField showAll="0">
      <items count="4">
        <item x="1"/>
        <item x="2"/>
        <item x="0"/>
        <item t="default"/>
      </items>
    </pivotField>
    <pivotField dataField="1" showAll="0"/>
    <pivotField showAll="0"/>
  </pivotFields>
  <rowFields count="1">
    <field x="2"/>
  </rowFields>
  <rowItems count="3">
    <i>
      <x/>
    </i>
    <i>
      <x v="1"/>
    </i>
    <i t="grand">
      <x/>
    </i>
  </rowItems>
  <colItems count="1">
    <i/>
  </colItems>
  <dataFields count="1">
    <dataField name="Sum of Sales" fld="4" baseField="0" baseItem="0" numFmtId="164"/>
  </dataFields>
  <formats count="1">
    <format dxfId="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D4BED5-4179-4216-9C83-0A9587D3AB9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29:B33" firstHeaderRow="1" firstDataRow="1" firstDataCol="1"/>
  <pivotFields count="6">
    <pivotField numFmtId="14" showAll="0">
      <items count="13">
        <item x="0"/>
        <item x="1"/>
        <item x="2"/>
        <item x="3"/>
        <item x="4"/>
        <item x="5"/>
        <item x="6"/>
        <item x="7"/>
        <item x="8"/>
        <item x="9"/>
        <item x="10"/>
        <item x="11"/>
        <item t="default"/>
      </items>
    </pivotField>
    <pivotField showAll="0">
      <items count="5">
        <item x="3"/>
        <item x="0"/>
        <item x="1"/>
        <item x="2"/>
        <item t="default"/>
      </items>
    </pivotField>
    <pivotField showAll="0"/>
    <pivotField axis="axisRow" showAll="0">
      <items count="4">
        <item x="1"/>
        <item x="2"/>
        <item x="0"/>
        <item t="default"/>
      </items>
    </pivotField>
    <pivotField showAll="0"/>
    <pivotField dataField="1" showAll="0"/>
  </pivotFields>
  <rowFields count="1">
    <field x="3"/>
  </rowFields>
  <rowItems count="4">
    <i>
      <x/>
    </i>
    <i>
      <x v="1"/>
    </i>
    <i>
      <x v="2"/>
    </i>
    <i t="grand">
      <x/>
    </i>
  </rowItems>
  <colItems count="1">
    <i/>
  </colItems>
  <dataFields count="1">
    <dataField name="Sum of Quantity" fld="5" baseField="0" baseItem="0"/>
  </dataFields>
  <formats count="1">
    <format dxfId="5">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F77E58-3710-4C2C-BA65-103A170E790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B6" firstHeaderRow="1" firstDataRow="1" firstDataCol="1"/>
  <pivotFields count="6">
    <pivotField numFmtId="14" showAll="0">
      <items count="13">
        <item x="0"/>
        <item x="1"/>
        <item x="2"/>
        <item x="3"/>
        <item x="4"/>
        <item x="5"/>
        <item x="6"/>
        <item x="7"/>
        <item x="8"/>
        <item x="9"/>
        <item x="10"/>
        <item x="11"/>
        <item t="default"/>
      </items>
    </pivotField>
    <pivotField showAll="0">
      <items count="5">
        <item x="3"/>
        <item x="0"/>
        <item x="1"/>
        <item x="2"/>
        <item t="default"/>
      </items>
    </pivotField>
    <pivotField showAll="0"/>
    <pivotField axis="axisRow" showAll="0">
      <items count="4">
        <item x="1"/>
        <item x="2"/>
        <item x="0"/>
        <item t="default"/>
      </items>
    </pivotField>
    <pivotField dataField="1" showAll="0"/>
    <pivotField showAll="0"/>
  </pivotFields>
  <rowFields count="1">
    <field x="3"/>
  </rowFields>
  <rowItems count="4">
    <i>
      <x/>
    </i>
    <i>
      <x v="1"/>
    </i>
    <i>
      <x v="2"/>
    </i>
    <i t="grand">
      <x/>
    </i>
  </rowItems>
  <colItems count="1">
    <i/>
  </colItems>
  <dataFields count="1">
    <dataField name="Sum of Sales" fld="4" baseField="0" baseItem="0" numFmtId="164"/>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9992F6-C462-40F4-A20B-2CF6D05827DD}" sourceName="Product">
  <pivotTables>
    <pivotTable tabId="2" name="PivotTable1"/>
    <pivotTable tabId="2" name="PivotTable2"/>
    <pivotTable tabId="2" name="PivotTable3"/>
    <pivotTable tabId="2" name="PivotTable4"/>
    <pivotTable tabId="2" name="PivotTable5"/>
    <pivotTable tabId="2" name="PivotTable6"/>
  </pivotTables>
  <data>
    <tabular pivotCacheId="170685289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FE5F4CD-6CED-4C8A-A3E7-840D6A97B12B}" sourceName="City">
  <pivotTables>
    <pivotTable tabId="2" name="PivotTable6"/>
    <pivotTable tabId="2" name="PivotTable5"/>
    <pivotTable tabId="2" name="PivotTable4"/>
    <pivotTable tabId="2" name="PivotTable3"/>
    <pivotTable tabId="2" name="PivotTable2"/>
    <pivotTable tabId="2" name="PivotTable1"/>
  </pivotTables>
  <data>
    <tabular pivotCacheId="170685289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2615A0A-0804-4AEB-BEF5-BF39BCA1DA4E}" sourceName="Product">
  <data>
    <tabular pivotCacheId="1706852899">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14AC790-61BA-4698-8CC8-E85467600B3C}" cache="Slicer_Product" caption="Product" rowHeight="247650"/>
  <slicer name="City" xr10:uid="{40F91E6E-E6AA-44A1-9430-C4C3BA67BA4E}" cache="Slicer_City1"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932ACA6-DDDF-4D37-8DE6-F887E90F2CAC}" cache="Slicer_City1" caption="City" columnCount="2" style="SlicerStyleLight3" rowHeight="247650"/>
  <slicer name="Product 1" xr10:uid="{5C7340DB-E1A2-46C9-AF46-03CB0CE6C9EE}" cache="Slicer_Product1" caption="Product" columnCount="4"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431F22-335D-45CA-99E5-0C621F62099A}" name="Table3" displayName="Table3" ref="A1:F13" totalsRowShown="0" headerRowDxfId="14" dataDxfId="13">
  <autoFilter ref="A1:F13" xr:uid="{8919CC0A-D84E-472E-8B4C-9601CA07BD93}"/>
  <tableColumns count="6">
    <tableColumn id="1" xr3:uid="{6EC6DF70-941F-4B89-98D2-E6BA0FFF2FEF}" name="Date" dataDxfId="12"/>
    <tableColumn id="2" xr3:uid="{5AF04216-8926-4297-AC00-DBC7CA962641}" name="Product" dataDxfId="11"/>
    <tableColumn id="3" xr3:uid="{6495E039-1E50-47A7-AF9E-4E4D6E57E985}" name="Category" dataDxfId="10"/>
    <tableColumn id="4" xr3:uid="{E0D727D3-F0C7-42D7-B859-A96B5C88BE95}" name="City" dataDxfId="9"/>
    <tableColumn id="5" xr3:uid="{75F0050B-3DAF-4A59-82FE-8CF8F69EB88D}" name="Sales" dataDxfId="8"/>
    <tableColumn id="6" xr3:uid="{22415680-4BCC-4A6E-829D-671FB8CC5D63}" name="Quantity"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9310430E-3361-4F5B-8CB6-D2ACD7E8F4C3}" sourceName="Date">
  <pivotTables>
    <pivotTable tabId="2" name="PivotTable6"/>
    <pivotTable tabId="2" name="PivotTable5"/>
    <pivotTable tabId="2" name="PivotTable4"/>
    <pivotTable tabId="2" name="PivotTable3"/>
    <pivotTable tabId="2" name="PivotTable2"/>
    <pivotTable tabId="2" name="PivotTable1"/>
  </pivotTables>
  <state minimalRefreshVersion="6" lastRefreshVersion="6" pivotCacheId="1706852899"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D05158E-5D62-4E01-86A1-FFF130E2D616}" cache="NativeTimeline_Date1" caption="Date" level="2" selectionLevel="2" scrollPosition="2026-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9E176F8-F1ED-49C7-A816-FC14141A8200}" cache="NativeTimeline_Date1" caption="Date" level="2" selectionLevel="2" scrollPosition="2026-01-01T00:00:00" style="TimeSlicerStyleLight3"/>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27EF-83F3-4C6C-B50A-978C74E63CC9}">
  <dimension ref="A1:K13"/>
  <sheetViews>
    <sheetView workbookViewId="0"/>
  </sheetViews>
  <sheetFormatPr defaultRowHeight="14.4" x14ac:dyDescent="0.3"/>
  <cols>
    <col min="1" max="1" width="13.33203125" customWidth="1"/>
    <col min="2" max="2" width="12" bestFit="1" customWidth="1"/>
    <col min="3" max="3" width="12.77734375" bestFit="1" customWidth="1"/>
    <col min="6" max="6" width="8.109375" bestFit="1" customWidth="1"/>
  </cols>
  <sheetData>
    <row r="1" spans="1:11" x14ac:dyDescent="0.3">
      <c r="A1" s="1" t="s">
        <v>0</v>
      </c>
      <c r="B1" s="1" t="s">
        <v>1</v>
      </c>
      <c r="C1" s="1" t="s">
        <v>2</v>
      </c>
      <c r="D1" s="1" t="s">
        <v>3</v>
      </c>
      <c r="E1" s="2" t="s">
        <v>4</v>
      </c>
      <c r="F1" s="2" t="s">
        <v>5</v>
      </c>
    </row>
    <row r="2" spans="1:11" x14ac:dyDescent="0.3">
      <c r="A2" s="3">
        <v>46266</v>
      </c>
      <c r="B2" s="4" t="s">
        <v>6</v>
      </c>
      <c r="C2" s="4" t="s">
        <v>7</v>
      </c>
      <c r="D2" s="4" t="s">
        <v>8</v>
      </c>
      <c r="E2" s="5">
        <v>60000</v>
      </c>
      <c r="F2" s="5">
        <v>2</v>
      </c>
    </row>
    <row r="3" spans="1:11" x14ac:dyDescent="0.3">
      <c r="A3" s="3">
        <v>46267</v>
      </c>
      <c r="B3" s="4" t="s">
        <v>9</v>
      </c>
      <c r="C3" s="4" t="s">
        <v>7</v>
      </c>
      <c r="D3" s="4" t="s">
        <v>10</v>
      </c>
      <c r="E3" s="5">
        <v>25000</v>
      </c>
      <c r="F3" s="5">
        <v>1</v>
      </c>
    </row>
    <row r="4" spans="1:11" x14ac:dyDescent="0.3">
      <c r="A4" s="3">
        <v>46268</v>
      </c>
      <c r="B4" s="4" t="s">
        <v>6</v>
      </c>
      <c r="C4" s="4" t="s">
        <v>7</v>
      </c>
      <c r="D4" s="4" t="s">
        <v>8</v>
      </c>
      <c r="E4" s="5">
        <v>70000</v>
      </c>
      <c r="F4" s="5">
        <v>2</v>
      </c>
      <c r="K4">
        <f>SUM(Table3[Sales])</f>
        <v>449000</v>
      </c>
    </row>
    <row r="5" spans="1:11" x14ac:dyDescent="0.3">
      <c r="A5" s="3">
        <v>46269</v>
      </c>
      <c r="B5" s="4" t="s">
        <v>11</v>
      </c>
      <c r="C5" s="4" t="s">
        <v>7</v>
      </c>
      <c r="D5" s="4" t="s">
        <v>12</v>
      </c>
      <c r="E5" s="5">
        <v>30000</v>
      </c>
      <c r="F5" s="5">
        <v>2</v>
      </c>
    </row>
    <row r="6" spans="1:11" x14ac:dyDescent="0.3">
      <c r="A6" s="3">
        <v>46270</v>
      </c>
      <c r="B6" s="4" t="s">
        <v>9</v>
      </c>
      <c r="C6" s="4" t="s">
        <v>7</v>
      </c>
      <c r="D6" s="4" t="s">
        <v>8</v>
      </c>
      <c r="E6" s="5">
        <v>40000</v>
      </c>
      <c r="F6" s="5">
        <v>2</v>
      </c>
    </row>
    <row r="7" spans="1:11" x14ac:dyDescent="0.3">
      <c r="A7" s="3">
        <v>46271</v>
      </c>
      <c r="B7" s="4" t="s">
        <v>13</v>
      </c>
      <c r="C7" s="4" t="s">
        <v>14</v>
      </c>
      <c r="D7" s="4" t="s">
        <v>10</v>
      </c>
      <c r="E7" s="5">
        <v>5000</v>
      </c>
      <c r="F7" s="5">
        <v>5</v>
      </c>
    </row>
    <row r="8" spans="1:11" x14ac:dyDescent="0.3">
      <c r="A8" s="3">
        <v>46272</v>
      </c>
      <c r="B8" s="4" t="s">
        <v>6</v>
      </c>
      <c r="C8" s="4" t="s">
        <v>7</v>
      </c>
      <c r="D8" s="4" t="s">
        <v>12</v>
      </c>
      <c r="E8" s="5">
        <v>55000</v>
      </c>
      <c r="F8" s="5">
        <v>1</v>
      </c>
    </row>
    <row r="9" spans="1:11" x14ac:dyDescent="0.3">
      <c r="A9" s="3">
        <v>46273</v>
      </c>
      <c r="B9" s="4" t="s">
        <v>9</v>
      </c>
      <c r="C9" s="4" t="s">
        <v>7</v>
      </c>
      <c r="D9" s="4" t="s">
        <v>8</v>
      </c>
      <c r="E9" s="5">
        <v>30000</v>
      </c>
      <c r="F9" s="5">
        <v>1</v>
      </c>
    </row>
    <row r="10" spans="1:11" x14ac:dyDescent="0.3">
      <c r="A10" s="3">
        <v>46274</v>
      </c>
      <c r="B10" s="4" t="s">
        <v>13</v>
      </c>
      <c r="C10" s="4" t="s">
        <v>14</v>
      </c>
      <c r="D10" s="4" t="s">
        <v>8</v>
      </c>
      <c r="E10" s="5">
        <v>6000</v>
      </c>
      <c r="F10" s="5">
        <v>6</v>
      </c>
    </row>
    <row r="11" spans="1:11" x14ac:dyDescent="0.3">
      <c r="A11" s="3">
        <v>46275</v>
      </c>
      <c r="B11" s="4" t="s">
        <v>11</v>
      </c>
      <c r="C11" s="4" t="s">
        <v>7</v>
      </c>
      <c r="D11" s="4" t="s">
        <v>10</v>
      </c>
      <c r="E11" s="5">
        <v>28000</v>
      </c>
      <c r="F11" s="5">
        <v>2</v>
      </c>
    </row>
    <row r="12" spans="1:11" x14ac:dyDescent="0.3">
      <c r="A12" s="3">
        <v>46276</v>
      </c>
      <c r="B12" s="4" t="s">
        <v>6</v>
      </c>
      <c r="C12" s="4" t="s">
        <v>7</v>
      </c>
      <c r="D12" s="4" t="s">
        <v>8</v>
      </c>
      <c r="E12" s="5">
        <v>65000</v>
      </c>
      <c r="F12" s="5">
        <v>1</v>
      </c>
    </row>
    <row r="13" spans="1:11" x14ac:dyDescent="0.3">
      <c r="A13" s="3">
        <v>46277</v>
      </c>
      <c r="B13" s="4" t="s">
        <v>9</v>
      </c>
      <c r="C13" s="4" t="s">
        <v>7</v>
      </c>
      <c r="D13" s="4" t="s">
        <v>12</v>
      </c>
      <c r="E13" s="5">
        <v>35000</v>
      </c>
      <c r="F13" s="5">
        <v>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5F5A-598A-4984-BF9D-A3D866EB8C44}">
  <dimension ref="A2:L41"/>
  <sheetViews>
    <sheetView workbookViewId="0"/>
  </sheetViews>
  <sheetFormatPr defaultRowHeight="14.4" x14ac:dyDescent="0.3"/>
  <cols>
    <col min="1" max="1" width="12.44140625" bestFit="1" customWidth="1"/>
    <col min="2" max="2" width="11.5546875" bestFit="1" customWidth="1"/>
    <col min="3" max="3" width="14.21875" bestFit="1" customWidth="1"/>
    <col min="11" max="11" width="16.5546875" bestFit="1" customWidth="1"/>
    <col min="12" max="12" width="11.5546875" bestFit="1" customWidth="1"/>
  </cols>
  <sheetData>
    <row r="2" spans="1:12" x14ac:dyDescent="0.3">
      <c r="A2" s="14" t="s">
        <v>15</v>
      </c>
      <c r="B2" t="s">
        <v>16</v>
      </c>
    </row>
    <row r="3" spans="1:12" x14ac:dyDescent="0.3">
      <c r="A3" s="6" t="s">
        <v>10</v>
      </c>
      <c r="B3" s="7">
        <v>58000</v>
      </c>
      <c r="K3" s="14" t="s">
        <v>15</v>
      </c>
      <c r="L3" t="s">
        <v>16</v>
      </c>
    </row>
    <row r="4" spans="1:12" x14ac:dyDescent="0.3">
      <c r="A4" s="6" t="s">
        <v>12</v>
      </c>
      <c r="B4" s="7">
        <v>120000</v>
      </c>
      <c r="K4" s="8">
        <v>46266</v>
      </c>
      <c r="L4" s="7">
        <v>60000</v>
      </c>
    </row>
    <row r="5" spans="1:12" x14ac:dyDescent="0.3">
      <c r="A5" s="6" t="s">
        <v>8</v>
      </c>
      <c r="B5" s="7">
        <v>271000</v>
      </c>
      <c r="K5" s="8">
        <v>46267</v>
      </c>
      <c r="L5" s="7">
        <v>25000</v>
      </c>
    </row>
    <row r="6" spans="1:12" x14ac:dyDescent="0.3">
      <c r="A6" s="6" t="s">
        <v>17</v>
      </c>
      <c r="B6" s="7">
        <v>449000</v>
      </c>
      <c r="K6" s="8">
        <v>46268</v>
      </c>
      <c r="L6" s="7">
        <v>70000</v>
      </c>
    </row>
    <row r="7" spans="1:12" x14ac:dyDescent="0.3">
      <c r="K7" s="8">
        <v>46269</v>
      </c>
      <c r="L7" s="7">
        <v>30000</v>
      </c>
    </row>
    <row r="8" spans="1:12" x14ac:dyDescent="0.3">
      <c r="K8" s="8">
        <v>46270</v>
      </c>
      <c r="L8" s="7">
        <v>40000</v>
      </c>
    </row>
    <row r="9" spans="1:12" x14ac:dyDescent="0.3">
      <c r="K9" s="8">
        <v>46271</v>
      </c>
      <c r="L9" s="7">
        <v>5000</v>
      </c>
    </row>
    <row r="10" spans="1:12" x14ac:dyDescent="0.3">
      <c r="A10" s="9" t="s">
        <v>18</v>
      </c>
      <c r="B10" s="10">
        <f>GETPIVOTDATA("Sales",$A$2)</f>
        <v>449000</v>
      </c>
      <c r="K10" s="8">
        <v>46272</v>
      </c>
      <c r="L10" s="7">
        <v>55000</v>
      </c>
    </row>
    <row r="11" spans="1:12" x14ac:dyDescent="0.3">
      <c r="A11" s="9" t="s">
        <v>19</v>
      </c>
      <c r="B11" s="11">
        <f>GETPIVOTDATA("Quantity",$A$29)</f>
        <v>26</v>
      </c>
      <c r="K11" s="8">
        <v>46273</v>
      </c>
      <c r="L11" s="7">
        <v>30000</v>
      </c>
    </row>
    <row r="12" spans="1:12" x14ac:dyDescent="0.3">
      <c r="K12" s="8">
        <v>46274</v>
      </c>
      <c r="L12" s="7">
        <v>6000</v>
      </c>
    </row>
    <row r="13" spans="1:12" x14ac:dyDescent="0.3">
      <c r="K13" s="8">
        <v>46275</v>
      </c>
      <c r="L13" s="7">
        <v>28000</v>
      </c>
    </row>
    <row r="14" spans="1:12" x14ac:dyDescent="0.3">
      <c r="K14" s="8">
        <v>46276</v>
      </c>
      <c r="L14" s="7">
        <v>65000</v>
      </c>
    </row>
    <row r="15" spans="1:12" x14ac:dyDescent="0.3">
      <c r="A15" s="14" t="s">
        <v>15</v>
      </c>
      <c r="B15" t="s">
        <v>16</v>
      </c>
      <c r="K15" s="8">
        <v>46277</v>
      </c>
      <c r="L15" s="7">
        <v>35000</v>
      </c>
    </row>
    <row r="16" spans="1:12" x14ac:dyDescent="0.3">
      <c r="A16" s="6" t="s">
        <v>13</v>
      </c>
      <c r="B16" s="7">
        <v>11000</v>
      </c>
      <c r="K16" s="12" t="s">
        <v>17</v>
      </c>
      <c r="L16" s="7">
        <v>449000</v>
      </c>
    </row>
    <row r="17" spans="1:12" x14ac:dyDescent="0.3">
      <c r="A17" s="6" t="s">
        <v>6</v>
      </c>
      <c r="B17" s="7">
        <v>250000</v>
      </c>
    </row>
    <row r="18" spans="1:12" x14ac:dyDescent="0.3">
      <c r="A18" s="6" t="s">
        <v>9</v>
      </c>
      <c r="B18" s="7">
        <v>130000</v>
      </c>
      <c r="K18" s="14" t="s">
        <v>15</v>
      </c>
      <c r="L18" t="s">
        <v>16</v>
      </c>
    </row>
    <row r="19" spans="1:12" x14ac:dyDescent="0.3">
      <c r="A19" s="6" t="s">
        <v>11</v>
      </c>
      <c r="B19" s="7">
        <v>58000</v>
      </c>
      <c r="K19" s="6" t="s">
        <v>14</v>
      </c>
      <c r="L19" s="7">
        <v>11000</v>
      </c>
    </row>
    <row r="20" spans="1:12" x14ac:dyDescent="0.3">
      <c r="A20" s="6" t="s">
        <v>17</v>
      </c>
      <c r="B20" s="7">
        <v>449000</v>
      </c>
      <c r="K20" s="6" t="s">
        <v>7</v>
      </c>
      <c r="L20" s="7">
        <v>438000</v>
      </c>
    </row>
    <row r="21" spans="1:12" x14ac:dyDescent="0.3">
      <c r="K21" s="6" t="s">
        <v>17</v>
      </c>
      <c r="L21" s="7">
        <v>449000</v>
      </c>
    </row>
    <row r="29" spans="1:12" x14ac:dyDescent="0.3">
      <c r="A29" s="14" t="s">
        <v>15</v>
      </c>
      <c r="B29" t="s">
        <v>20</v>
      </c>
    </row>
    <row r="30" spans="1:12" x14ac:dyDescent="0.3">
      <c r="A30" s="6" t="s">
        <v>10</v>
      </c>
      <c r="B30" s="15">
        <v>8</v>
      </c>
    </row>
    <row r="31" spans="1:12" x14ac:dyDescent="0.3">
      <c r="A31" s="6" t="s">
        <v>12</v>
      </c>
      <c r="B31" s="15">
        <v>4</v>
      </c>
    </row>
    <row r="32" spans="1:12" x14ac:dyDescent="0.3">
      <c r="A32" s="6" t="s">
        <v>8</v>
      </c>
      <c r="B32" s="15">
        <v>14</v>
      </c>
    </row>
    <row r="33" spans="1:2" x14ac:dyDescent="0.3">
      <c r="A33" s="6" t="s">
        <v>17</v>
      </c>
      <c r="B33" s="15">
        <v>26</v>
      </c>
    </row>
    <row r="36" spans="1:2" x14ac:dyDescent="0.3">
      <c r="A36" s="14" t="s">
        <v>15</v>
      </c>
      <c r="B36" t="s">
        <v>20</v>
      </c>
    </row>
    <row r="37" spans="1:2" x14ac:dyDescent="0.3">
      <c r="A37" s="6" t="s">
        <v>13</v>
      </c>
      <c r="B37" s="15">
        <v>11</v>
      </c>
    </row>
    <row r="38" spans="1:2" x14ac:dyDescent="0.3">
      <c r="A38" s="6" t="s">
        <v>6</v>
      </c>
      <c r="B38" s="15">
        <v>6</v>
      </c>
    </row>
    <row r="39" spans="1:2" x14ac:dyDescent="0.3">
      <c r="A39" s="6" t="s">
        <v>9</v>
      </c>
      <c r="B39" s="15">
        <v>5</v>
      </c>
    </row>
    <row r="40" spans="1:2" x14ac:dyDescent="0.3">
      <c r="A40" s="6" t="s">
        <v>11</v>
      </c>
      <c r="B40" s="15">
        <v>4</v>
      </c>
    </row>
    <row r="41" spans="1:2" x14ac:dyDescent="0.3">
      <c r="A41" s="6" t="s">
        <v>17</v>
      </c>
      <c r="B41" s="15">
        <v>26</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9CF9-6336-417C-B2DA-54F971CE2376}">
  <dimension ref="E1"/>
  <sheetViews>
    <sheetView showGridLines="0" tabSelected="1" zoomScale="110" zoomScaleNormal="110" workbookViewId="0"/>
  </sheetViews>
  <sheetFormatPr defaultRowHeight="14.4" x14ac:dyDescent="0.3"/>
  <sheetData>
    <row r="1" spans="5:5" ht="14.4" customHeight="1" x14ac:dyDescent="0.55000000000000004">
      <c r="E1"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mithun n</dc:creator>
  <cp:lastModifiedBy>mithun n</cp:lastModifiedBy>
  <dcterms:created xsi:type="dcterms:W3CDTF">2026-10-05T09:35:58Z</dcterms:created>
  <dcterms:modified xsi:type="dcterms:W3CDTF">2026-10-05T15:25:04Z</dcterms:modified>
</cp:coreProperties>
</file>